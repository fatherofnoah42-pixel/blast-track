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全局" sheetId="2" state="visible" r:id="rId2"/>
    <sheet xmlns:r="http://schemas.openxmlformats.org/officeDocument/2006/relationships" name="装置" sheetId="3" state="visible" r:id="rId3"/>
    <sheet xmlns:r="http://schemas.openxmlformats.org/officeDocument/2006/relationships" name="升级路线" sheetId="4" state="visible" r:id="rId4"/>
    <sheet xmlns:r="http://schemas.openxmlformats.org/officeDocument/2006/relationships" name="升级" sheetId="5" state="visible" r:id="rId5"/>
    <sheet xmlns:r="http://schemas.openxmlformats.org/officeDocument/2006/relationships" name="敌人" sheetId="6" state="visible" r:id="rId6"/>
    <sheet xmlns:r="http://schemas.openxmlformats.org/officeDocument/2006/relationships" name="波次" sheetId="7" state="visible" r:id="rId7"/>
    <sheet xmlns:r="http://schemas.openxmlformats.org/officeDocument/2006/relationships" name="Boss" sheetId="8" state="visible" r:id="rId8"/>
    <sheet xmlns:r="http://schemas.openxmlformats.org/officeDocument/2006/relationships" name="词缀" sheetId="9" state="visible" r:id="rId9"/>
    <sheet xmlns:r="http://schemas.openxmlformats.org/officeDocument/2006/relationships" name="卡牌" sheetId="10" state="visible" r:id="rId10"/>
    <sheet xmlns:r="http://schemas.openxmlformats.org/officeDocument/2006/relationships" name="跑道列表" sheetId="11" state="visible" r:id="rId11"/>
    <sheet xmlns:r="http://schemas.openxmlformats.org/officeDocument/2006/relationships" name="地图" sheetId="12" state="visible" r:id="rId12"/>
    <sheet xmlns:r="http://schemas.openxmlformats.org/officeDocument/2006/relationships" name="美术资源" sheetId="13" state="visible" r:id="rId13"/>
    <sheet xmlns:r="http://schemas.openxmlformats.org/officeDocument/2006/relationships" name="界面文字" sheetId="14" state="visible" r:id="rId14"/>
    <sheet xmlns:r="http://schemas.openxmlformats.org/officeDocument/2006/relationships" name="效果语法" sheetId="15" state="visible" r:id="rId15"/>
    <sheet xmlns:r="http://schemas.openxmlformats.org/officeDocument/2006/relationships" name="数值体检·波次" sheetId="16" state="visible" r:id="rId16"/>
    <sheet xmlns:r="http://schemas.openxmlformats.org/officeDocument/2006/relationships" name="数值体检·装置" sheetId="17" state="visible" r:id="rId1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3">
    <font>
      <name val="Calibri"/>
      <family val="2"/>
      <color theme="1"/>
      <sz val="11"/>
      <scheme val="minor"/>
    </font>
    <font>
      <name val="Arial"/>
      <b val="1"/>
      <sz val="14"/>
    </font>
    <font>
      <name val="Arial"/>
      <sz val="11"/>
    </font>
    <font>
      <name val="Arial"/>
      <b val="1"/>
      <sz val="11"/>
    </font>
    <font>
      <name val="Arial"/>
      <b val="1"/>
      <color rgb="00FFFFFF"/>
    </font>
    <font>
      <name val="Arial"/>
      <i val="1"/>
      <color rgb="008A93A6"/>
      <sz val="9"/>
    </font>
    <font>
      <name val="Arial"/>
      <color rgb="005A6478"/>
    </font>
    <font>
      <name val="Arial"/>
      <color rgb="000000FF"/>
    </font>
    <font>
      <name val="Arial"/>
      <color rgb="00000000"/>
    </font>
    <font>
      <name val="Arial"/>
      <i val="1"/>
      <color rgb="00000000"/>
    </font>
    <font>
      <name val="Arial"/>
      <i val="1"/>
      <color rgb="005A6478"/>
    </font>
    <font>
      <name val="Arial"/>
      <b val="1"/>
    </font>
    <font>
      <name val="Arial"/>
      <b val="1"/>
      <color rgb="001A2437"/>
    </font>
  </fonts>
  <fills count="4">
    <fill>
      <patternFill/>
    </fill>
    <fill>
      <patternFill patternType="gray125"/>
    </fill>
    <fill>
      <patternFill patternType="solid">
        <fgColor rgb="001A2437"/>
      </patternFill>
    </fill>
    <fill>
      <patternFill patternType="solid">
        <fgColor rgb="00EEF0F4"/>
      </patternFill>
    </fill>
  </fills>
  <borders count="2">
    <border>
      <left/>
      <right/>
      <top/>
      <bottom/>
      <diagonal/>
    </border>
    <border>
      <left style="thin">
        <color rgb="00D5D9E0"/>
      </left>
      <right style="thin">
        <color rgb="00D5D9E0"/>
      </right>
      <top style="thin">
        <color rgb="00D5D9E0"/>
      </top>
      <bottom style="thin">
        <color rgb="00D5D9E0"/>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3" borderId="1"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10" fillId="0" borderId="0" pivotButton="0" quotePrefix="0" xfId="0"/>
    <xf numFmtId="0" fontId="12" fillId="0" borderId="0" pivotButton="0" quotePrefix="0" xfId="0"/>
    <xf numFmtId="1" fontId="9" fillId="0" borderId="1" applyAlignment="1" pivotButton="0" quotePrefix="0" xfId="0">
      <alignment vertical="top" wrapText="1"/>
    </xf>
    <xf numFmtId="164" fontId="9" fillId="0" borderId="1" applyAlignment="1" pivotButton="0" quotePrefix="0" xfId="0">
      <alignment vertical="top" wrapText="1"/>
    </xf>
    <xf numFmtId="2" fontId="9" fillId="0" borderId="1" applyAlignment="1" pivotButton="0" quotePrefix="0" xfId="0">
      <alignment vertical="top" wrapText="1"/>
    </xf>
    <xf numFmtId="165" fontId="9" fillId="0" borderId="1" applyAlignment="1" pivotButton="0" quotePrefix="0" xfId="0">
      <alignment vertical="top" wrapText="1"/>
    </xf>
    <xf numFmtId="0" fontId="11" fillId="0" borderId="0" pivotButton="0" quotePrefix="0" xfId="0"/>
    <xf numFmtId="0" fontId="7" fillId="0" borderId="1" pivotButton="0" quotePrefix="0" xfId="0"/>
  </cellXfs>
  <cellStyles count="1">
    <cellStyle name="Normal" xfId="0" builtinId="0" hidden="0"/>
  </cellStyles>
  <dxfs count="3">
    <dxf>
      <fill>
        <patternFill patternType="solid">
          <fgColor rgb="00FBD5D0"/>
        </patternFill>
      </fill>
    </dxf>
    <dxf>
      <fill>
        <patternFill patternType="solid">
          <fgColor rgb="00FFF1C2"/>
        </patternFill>
      </fill>
    </dxf>
    <dxf>
      <fill>
        <patternFill patternType="solid">
          <fgColor rgb="00D8F2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2.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3.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4.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5.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6.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7.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8.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9.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10.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11.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12.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13.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14.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15.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comments/comment16.xml><?xml version="1.0" encoding="utf-8"?>
<comments xmlns="http://schemas.openxmlformats.org/spreadsheetml/2006/main">
  <authors>
    <author>config</author>
  </authors>
  <commentList>
    <comment ref="A2" authorId="0" shapeId="0">
      <text>
        <t>第 2 行是给游戏读取的字段名，请不要修改。</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20" customWidth="1" min="1" max="1"/>
  </cols>
  <sheetData>
    <row r="1">
      <c r="A1" s="1" t="inlineStr">
        <is>
          <t>爆破跑道 · 游戏配置表</t>
        </is>
      </c>
    </row>
    <row r="2">
      <c r="A2" s="2" t="inlineStr"/>
    </row>
    <row r="3">
      <c r="A3" s="3" t="inlineStr">
        <is>
          <t>怎么用</t>
        </is>
      </c>
    </row>
    <row r="4">
      <c r="A4" s="2" t="inlineStr">
        <is>
          <t>1. 修改各工作表里的数值和名称（蓝色字是数值，黑色字是文字，灰色字是 id，不要改 id）。</t>
        </is>
      </c>
    </row>
    <row r="5">
      <c r="A5" s="2" t="inlineStr">
        <is>
          <t>2. 每个工作表的第 2 行是游戏读取用的字段名，请不要修改、删除或调换列顺序以外的内容；可以调换列顺序。</t>
        </is>
      </c>
    </row>
    <row r="6">
      <c r="A6" s="2" t="inlineStr">
        <is>
          <t>3. 在 Excel 中保存为 .xlsx；如果用 Google Sheets，先把本文件上传到 Google 云端硬盘并用 Google 表格打开，改完后选「文件 → 下载 → Microsoft Excel (.xlsx)」。</t>
        </is>
      </c>
    </row>
    <row r="7">
      <c r="A7" s="2" t="inlineStr">
        <is>
          <t>4. 打开游戏页面，点「导入配置表 (.xlsx)」选择文件。游戏会立即按新配置重新开局；有问题的单元格会列在导入提示里，并自动使用默认值。</t>
        </is>
      </c>
    </row>
    <row r="8">
      <c r="A8" s="2" t="inlineStr">
        <is>
          <t>5. 点「恢复默认」可以回到内置配置。导入的配置只保存在当前浏览器里，换设备需要重新导入。</t>
        </is>
      </c>
    </row>
    <row r="9">
      <c r="A9" s="2" t="inlineStr"/>
    </row>
    <row r="10">
      <c r="A10" s="3" t="inlineStr">
        <is>
          <t>注意</t>
        </is>
      </c>
    </row>
    <row r="11">
      <c r="A11" s="2" t="inlineStr">
        <is>
          <t>· 说明文字不会随数值自动变化。改了数值（比如冷却秒数），记得同步改对应的说明文字（三种语言）。</t>
        </is>
      </c>
    </row>
    <row r="12">
      <c r="A12" s="2" t="inlineStr">
        <is>
          <t>· 名称、说明都有中文、English、Français 三列；某一列留空会使用原来的文字。</t>
        </is>
      </c>
    </row>
    <row r="13">
      <c r="A13" s="2" t="inlineStr">
        <is>
          <t>· 斜体黑字的列（如「累计花费」「本波总人数」）是自动计算的参考列，游戏不读取。</t>
        </is>
      </c>
    </row>
    <row r="14">
      <c r="A14" s="2" t="inlineStr">
        <is>
          <t>· 「波次」表的行数就是总波数，可以增删行；boss 列填 1 的波次会出现 Boss。</t>
        </is>
      </c>
    </row>
    <row r="15">
      <c r="A15" s="2" t="inlineStr">
        <is>
          <t>· 「Boss」「卡牌」表的 enabled 填 0 可以停用该 Boss 或卡牌。</t>
        </is>
      </c>
    </row>
    <row r="16">
      <c r="A16" s="2" t="inlineStr">
        <is>
          <t>· 「升级」表的 effect 列用简单语法描述效果，写法见「效果语法」工作表。</t>
        </is>
      </c>
    </row>
    <row r="17">
      <c r="A17" s="2" t="inlineStr">
        <is>
          <t>· 地图坐标以 360 × 600 的画布为准，左上角是 (0, 0)。一种跑道可以有多条路线，实现多进口、多出口。</t>
        </is>
      </c>
    </row>
    <row r="18">
      <c r="A18" s="2" t="inlineStr">
        <is>
          <t>· 局内 GST 只是关卡内货币，不和任何真实资产挂钩。</t>
        </is>
      </c>
    </row>
    <row r="19">
      <c r="A19" s="2" t="inlineStr"/>
    </row>
    <row r="20">
      <c r="A20" s="3" t="inlineStr">
        <is>
          <t>工作表一览</t>
        </is>
      </c>
    </row>
    <row r="21">
      <c r="A21" s="2" t="inlineStr">
        <is>
          <t>全局：经济、抽卡权重、出怪节奏、各种机制倍率等全局参数</t>
        </is>
      </c>
    </row>
    <row r="22">
      <c r="A22" s="2" t="inlineStr">
        <is>
          <t>装置：6 种装置的名称、价格和基础数值</t>
        </is>
      </c>
    </row>
    <row r="23">
      <c r="A23" s="2" t="inlineStr">
        <is>
          <t>升级路线：每种装置 3 条路线的名称</t>
        </is>
      </c>
    </row>
    <row r="24">
      <c r="A24" s="2" t="inlineStr">
        <is>
          <t>升级：75 个升级的名称、价格、说明和效果</t>
        </is>
      </c>
    </row>
    <row r="25">
      <c r="A25" s="2" t="inlineStr">
        <is>
          <t>敌人：慢跑者、耐力跑者、Boss，以及雨衣、弹簧鞋、降噪耳机、巨鲸 4 种克制型跑者的基础数值</t>
        </is>
      </c>
    </row>
    <row r="26">
      <c r="A26" s="2" t="inlineStr">
        <is>
          <t>波次：每一波的人数、体力、是否有 Boss、词缀数量、4 种克制型跑者的人数</t>
        </is>
      </c>
    </row>
    <row r="27">
      <c r="A27" s="2" t="inlineStr">
        <is>
          <t>Boss：6 位 Boss 的名称、能力说明和能力参数 p1–p4</t>
        </is>
      </c>
    </row>
    <row r="28">
      <c r="A28" s="2" t="inlineStr">
        <is>
          <t>词缀：4 种对手词缀的名称和说明（数值在「全局」）</t>
        </is>
      </c>
    </row>
    <row r="29">
      <c r="A29" s="2" t="inlineStr">
        <is>
          <t>卡牌：神秘箱里的全部卡牌</t>
        </is>
      </c>
    </row>
    <row r="30">
      <c r="A30" s="2" t="inlineStr">
        <is>
          <t>跑道列表：6 种跑道（单进单出、双进双出、单进双出、双进单出、十字交叉、三进单出）的名称、启用开关和难度倍率</t>
        </is>
      </c>
    </row>
    <row r="31">
      <c r="A31" s="2" t="inlineStr">
        <is>
          <t>地图：每种跑道的路线点和装置空位坐标</t>
        </is>
      </c>
    </row>
    <row r="32">
      <c r="A32" s="2" t="inlineStr">
        <is>
          <t>美术资源：每张美术图的编号、图片地址、游戏内尺寸和锚点；留空就用游戏里的矢量占位图</t>
        </is>
      </c>
    </row>
    <row r="33">
      <c r="A33" s="2" t="inlineStr">
        <is>
          <t>界面文字：按钮、提示等界面文字的三语翻译</t>
        </is>
      </c>
    </row>
    <row r="34">
      <c r="A34" s="2" t="inlineStr">
        <is>
          <t>效果语法：「升级」表 effect 列的写法</t>
        </is>
      </c>
    </row>
    <row r="35">
      <c r="A35" s="2" t="inlineStr">
        <is>
          <t>数值体检·波次：用公式估算每一波的压力系数（需要的输出 ÷ 可用输出），改了波次、敌人、全局表会自动重算</t>
        </is>
      </c>
    </row>
    <row r="36">
      <c r="A36" s="2" t="inlineStr">
        <is>
          <t>数值体检·装置：每个升级和「同价多放几座基础装置」比谁更划算，含估算和实测两套数字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60" customWidth="1" min="3" max="3"/>
  </cols>
  <sheetData>
    <row r="1" ht="30" customHeight="1">
      <c r="A1" s="4" t="inlineStr">
        <is>
          <t>参数</t>
        </is>
      </c>
      <c r="B1" s="4" t="inlineStr">
        <is>
          <t>数值</t>
        </is>
      </c>
      <c r="C1" s="4" t="inlineStr">
        <is>
          <t>说明</t>
        </is>
      </c>
    </row>
    <row r="2">
      <c r="A2" s="5" t="inlineStr">
        <is>
          <t>key</t>
        </is>
      </c>
      <c r="B2" s="5" t="inlineStr">
        <is>
          <t>value</t>
        </is>
      </c>
      <c r="C2" s="5" t="inlineStr">
        <is>
          <t>desc</t>
        </is>
      </c>
    </row>
    <row r="3">
      <c r="A3" s="6" t="inlineStr">
        <is>
          <t>waves</t>
        </is>
      </c>
      <c r="B3" s="7" t="n">
        <v>15</v>
      </c>
      <c r="C3" s="8" t="inlineStr">
        <is>
          <t>总波数（须与「波次」表行数一致）</t>
        </is>
      </c>
    </row>
    <row r="4">
      <c r="A4" s="6" t="inlineStr">
        <is>
          <t>eliteAffixes</t>
        </is>
      </c>
      <c r="B4" s="7" t="n">
        <v>2</v>
      </c>
      <c r="C4" s="8" t="inlineStr">
        <is>
          <t>精英波词缀数量</t>
        </is>
      </c>
    </row>
    <row r="5">
      <c r="A5" s="6" t="inlineStr">
        <is>
          <t>startGold</t>
        </is>
      </c>
      <c r="B5" s="7" t="n">
        <v>300</v>
      </c>
      <c r="C5" s="8" t="inlineStr">
        <is>
          <t>开局 GST</t>
        </is>
      </c>
    </row>
    <row r="6">
      <c r="A6" s="6" t="inlineStr">
        <is>
          <t>startLives</t>
        </is>
      </c>
      <c r="B6" s="7" t="n">
        <v>20</v>
      </c>
      <c r="C6" s="8" t="inlineStr">
        <is>
          <t>开局生命</t>
        </is>
      </c>
    </row>
    <row r="7">
      <c r="A7" s="6" t="inlineStr">
        <is>
          <t>waveReward</t>
        </is>
      </c>
      <c r="B7" s="7" t="n">
        <v>30</v>
      </c>
      <c r="C7" s="8" t="inlineStr">
        <is>
          <t>每波守住的基础 GST 奖励</t>
        </is>
      </c>
    </row>
    <row r="8">
      <c r="A8" s="6" t="inlineStr">
        <is>
          <t>eliteReward</t>
        </is>
      </c>
      <c r="B8" s="7" t="n">
        <v>60</v>
      </c>
      <c r="C8" s="8" t="inlineStr">
        <is>
          <t>精英波额外 GST 奖励</t>
        </is>
      </c>
    </row>
    <row r="9">
      <c r="A9" s="6" t="inlineStr">
        <is>
          <t>eliteHpMult</t>
        </is>
      </c>
      <c r="B9" s="7" t="n">
        <v>1.4</v>
      </c>
      <c r="C9" s="8" t="inlineStr">
        <is>
          <t>精英波对手体力倍率</t>
        </is>
      </c>
    </row>
    <row r="10">
      <c r="A10" s="6" t="inlineStr">
        <is>
          <t>betweenTime</t>
        </is>
      </c>
      <c r="B10" s="7" t="n">
        <v>8</v>
      </c>
      <c r="C10" s="8" t="inlineStr">
        <is>
          <t>两波之间的布置时间（秒）</t>
        </is>
      </c>
    </row>
    <row r="11">
      <c r="A11" s="6" t="inlineStr">
        <is>
          <t>earlyBonusPerSec</t>
        </is>
      </c>
      <c r="B11" s="7" t="n">
        <v>5</v>
      </c>
      <c r="C11" s="8" t="inlineStr">
        <is>
          <t>提前开波每剩 1 秒奖励的 GST</t>
        </is>
      </c>
    </row>
    <row r="12">
      <c r="A12" s="6" t="inlineStr">
        <is>
          <t>rerollBase</t>
        </is>
      </c>
      <c r="B12" s="7" t="n">
        <v>20</v>
      </c>
      <c r="C12" s="8" t="inlineStr">
        <is>
          <t>神秘箱重抽起始价格</t>
        </is>
      </c>
    </row>
    <row r="13">
      <c r="A13" s="6" t="inlineStr">
        <is>
          <t>rerollStep</t>
        </is>
      </c>
      <c r="B13" s="7" t="n">
        <v>10</v>
      </c>
      <c r="C13" s="8" t="inlineStr">
        <is>
          <t>每次重抽涨价</t>
        </is>
      </c>
    </row>
    <row r="14">
      <c r="A14" s="6" t="inlineStr">
        <is>
          <t>sellRefund</t>
        </is>
      </c>
      <c r="B14" s="7" t="n">
        <v>0.6</v>
      </c>
      <c r="C14" s="8" t="inlineStr">
        <is>
          <t>回收装置返还比例</t>
        </is>
      </c>
    </row>
    <row r="15">
      <c r="A15" s="6" t="inlineStr">
        <is>
          <t>secCap</t>
        </is>
      </c>
      <c r="B15" s="7" t="n">
        <v>2</v>
      </c>
      <c r="C15" s="8" t="inlineStr">
        <is>
          <t>次路线等级上限</t>
        </is>
      </c>
    </row>
    <row r="16">
      <c r="A16" s="6" t="inlineStr">
        <is>
          <t>secCapBreaker</t>
        </is>
      </c>
      <c r="B16" s="7" t="n">
        <v>3</v>
      </c>
      <c r="C16" s="8" t="inlineStr">
        <is>
          <t>抽到「创世鞋」后的次路线上限</t>
        </is>
      </c>
    </row>
    <row r="17">
      <c r="A17" s="6" t="inlineStr">
        <is>
          <t>masterDmg</t>
        </is>
      </c>
      <c r="B17" s="7" t="n">
        <v>1.25</v>
      </c>
      <c r="C17" s="8" t="inlineStr">
        <is>
          <t>徽章卡：该装置效果倍率</t>
        </is>
      </c>
    </row>
    <row r="18">
      <c r="A18" s="6" t="inlineStr">
        <is>
          <t>masterCost</t>
        </is>
      </c>
      <c r="B18" s="7" t="n">
        <v>0.8</v>
      </c>
      <c r="C18" s="8" t="inlineStr">
        <is>
          <t>徽章卡：该装置升级费用倍率</t>
        </is>
      </c>
    </row>
    <row r="19">
      <c r="A19" s="6" t="inlineStr">
        <is>
          <t>couponMult</t>
        </is>
      </c>
      <c r="B19" s="7" t="n">
        <v>0.5</v>
      </c>
      <c r="C19" s="8" t="inlineStr">
        <is>
          <t>升级卷轴：升级费用倍率</t>
        </is>
      </c>
    </row>
    <row r="20">
      <c r="A20" s="6" t="inlineStr">
        <is>
          <t>critBase</t>
        </is>
      </c>
      <c r="B20" s="7" t="n">
        <v>0.12</v>
      </c>
      <c r="C20" s="8" t="inlineStr">
        <is>
          <t>基础暴击率</t>
        </is>
      </c>
    </row>
    <row r="21">
      <c r="A21" s="6" t="inlineStr">
        <is>
          <t>critMul</t>
        </is>
      </c>
      <c r="B21" s="7" t="n">
        <v>2</v>
      </c>
      <c r="C21" s="8" t="inlineStr">
        <is>
          <t>基础暴击倍率</t>
        </is>
      </c>
    </row>
    <row r="22">
      <c r="A22" s="6" t="inlineStr">
        <is>
          <t>markBonus</t>
        </is>
      </c>
      <c r="B22" s="7" t="n">
        <v>0.2</v>
      </c>
      <c r="C22" s="8" t="inlineStr">
        <is>
          <t>「汽水黏鞋」标记后受到的额外效果</t>
        </is>
      </c>
    </row>
    <row r="23">
      <c r="A23" s="6" t="inlineStr">
        <is>
          <t>comboWindow</t>
        </is>
      </c>
      <c r="B23" s="7" t="n">
        <v>1.2</v>
      </c>
      <c r="C23" s="8" t="inlineStr">
        <is>
          <t>连续劝退的判定间隔（秒）</t>
        </is>
      </c>
    </row>
    <row r="24">
      <c r="A24" s="6" t="inlineStr">
        <is>
          <t>frenzyNeed</t>
        </is>
      </c>
      <c r="B24" s="7" t="n">
        <v>50</v>
      </c>
      <c r="C24" s="8" t="inlineStr">
        <is>
          <t>触发燃脂模式所需连续劝退</t>
        </is>
      </c>
    </row>
    <row r="25">
      <c r="A25" s="6" t="inlineStr">
        <is>
          <t>frenzyDur</t>
        </is>
      </c>
      <c r="B25" s="7" t="n">
        <v>5</v>
      </c>
      <c r="C25" s="8" t="inlineStr">
        <is>
          <t>燃脂模式持续（秒）</t>
        </is>
      </c>
    </row>
    <row r="26">
      <c r="A26" s="6" t="inlineStr">
        <is>
          <t>frenzyRate</t>
        </is>
      </c>
      <c r="B26" s="7" t="n">
        <v>1.6</v>
      </c>
      <c r="C26" s="8" t="inlineStr">
        <is>
          <t>燃脂模式出手速度倍率</t>
        </is>
      </c>
    </row>
    <row r="27">
      <c r="A27" s="6" t="inlineStr">
        <is>
          <t>marathonDur</t>
        </is>
      </c>
      <c r="B27" s="7" t="n">
        <v>10</v>
      </c>
      <c r="C27" s="8" t="inlineStr">
        <is>
          <t>马拉松模式：燃脂持续（秒）</t>
        </is>
      </c>
    </row>
    <row r="28">
      <c r="A28" s="6" t="inlineStr">
        <is>
          <t>marathonRate</t>
        </is>
      </c>
      <c r="B28" s="7" t="n">
        <v>2</v>
      </c>
      <c r="C28" s="8" t="inlineStr">
        <is>
          <t>马拉松模式：出手速度倍率</t>
        </is>
      </c>
    </row>
    <row r="29">
      <c r="A29" s="6" t="inlineStr">
        <is>
          <t>warmBonus</t>
        </is>
      </c>
      <c r="B29" s="7" t="n">
        <v>0.1</v>
      </c>
      <c r="C29" s="8" t="inlineStr">
        <is>
          <t>当天跑步 ≥ 2 km 的热身效果加成</t>
        </is>
      </c>
    </row>
    <row r="30">
      <c r="A30" s="6" t="inlineStr">
        <is>
          <t>warmKm</t>
        </is>
      </c>
      <c r="B30" s="7" t="n">
        <v>2</v>
      </c>
      <c r="C30" s="8" t="inlineStr">
        <is>
          <t>热身：当天在 STEPN 跑满多少 km 触发</t>
        </is>
      </c>
    </row>
    <row r="31">
      <c r="A31" s="6" t="inlineStr">
        <is>
          <t>rpPerKm1</t>
        </is>
      </c>
      <c r="B31" s="7" t="n">
        <v>10</v>
      </c>
      <c r="C31" s="8" t="inlineStr">
        <is>
          <t>RP：前 5 km 每 km 获得的 RP</t>
        </is>
      </c>
    </row>
    <row r="32">
      <c r="A32" s="6" t="inlineStr">
        <is>
          <t>rpPerKm2</t>
        </is>
      </c>
      <c r="B32" s="7" t="n">
        <v>5</v>
      </c>
      <c r="C32" s="8" t="inlineStr">
        <is>
          <t>RP：5–10 km 每 km 获得的 RP</t>
        </is>
      </c>
    </row>
    <row r="33">
      <c r="A33" s="6" t="inlineStr">
        <is>
          <t>rpDailyCap</t>
        </is>
      </c>
      <c r="B33" s="7" t="n">
        <v>75</v>
      </c>
      <c r="C33" s="8" t="inlineStr">
        <is>
          <t>RP：单日上限</t>
        </is>
      </c>
    </row>
    <row r="34">
      <c r="A34" s="6" t="inlineStr">
        <is>
          <t>talentRP1</t>
        </is>
      </c>
      <c r="B34" s="7" t="n">
        <v>200</v>
      </c>
      <c r="C34" s="8" t="inlineStr">
        <is>
          <t>天赋一档所需累计 RP</t>
        </is>
      </c>
    </row>
    <row r="35">
      <c r="A35" s="6" t="inlineStr">
        <is>
          <t>talentRP2</t>
        </is>
      </c>
      <c r="B35" s="7" t="n">
        <v>600</v>
      </c>
      <c r="C35" s="8" t="inlineStr">
        <is>
          <t>天赋二档所需累计 RP</t>
        </is>
      </c>
    </row>
    <row r="36">
      <c r="A36" s="6" t="inlineStr">
        <is>
          <t>talentRP3</t>
        </is>
      </c>
      <c r="B36" s="7" t="n">
        <v>1200</v>
      </c>
      <c r="C36" s="8" t="inlineStr">
        <is>
          <t>天赋三档所需累计 RP</t>
        </is>
      </c>
    </row>
    <row r="37">
      <c r="A37" s="6" t="inlineStr">
        <is>
          <t>talentBonus1</t>
        </is>
      </c>
      <c r="B37" s="7" t="n">
        <v>0.1</v>
      </c>
      <c r="C37" s="8" t="inlineStr">
        <is>
          <t>天赋一档：全部装置效果加成</t>
        </is>
      </c>
    </row>
    <row r="38">
      <c r="A38" s="6" t="inlineStr">
        <is>
          <t>talentBonus2</t>
        </is>
      </c>
      <c r="B38" s="7" t="n">
        <v>0.2</v>
      </c>
      <c r="C38" s="8" t="inlineStr">
        <is>
          <t>天赋二档：全部装置效果加成</t>
        </is>
      </c>
    </row>
    <row r="39">
      <c r="A39" s="6" t="inlineStr">
        <is>
          <t>talentBonus3</t>
        </is>
      </c>
      <c r="B39" s="7" t="n">
        <v>0.3</v>
      </c>
      <c r="C39" s="8" t="inlineStr">
        <is>
          <t>天赋三档：全部装置效果加成</t>
        </is>
      </c>
    </row>
    <row r="40">
      <c r="A40" s="6" t="inlineStr">
        <is>
          <t>rarityC</t>
        </is>
      </c>
      <c r="B40" s="7" t="n">
        <v>60</v>
      </c>
      <c r="C40" s="8" t="inlineStr">
        <is>
          <t>神秘箱抽卡权重：普通</t>
        </is>
      </c>
    </row>
    <row r="41">
      <c r="A41" s="6" t="inlineStr">
        <is>
          <t>rarityR</t>
        </is>
      </c>
      <c r="B41" s="7" t="n">
        <v>30</v>
      </c>
      <c r="C41" s="8" t="inlineStr">
        <is>
          <t>神秘箱抽卡权重：稀有</t>
        </is>
      </c>
    </row>
    <row r="42">
      <c r="A42" s="6" t="inlineStr">
        <is>
          <t>rarityL</t>
        </is>
      </c>
      <c r="B42" s="7" t="n">
        <v>10</v>
      </c>
      <c r="C42" s="8" t="inlineStr">
        <is>
          <t>神秘箱抽卡权重：传说</t>
        </is>
      </c>
    </row>
    <row r="43">
      <c r="A43" s="6" t="inlineStr">
        <is>
          <t>bankRate</t>
        </is>
      </c>
      <c r="B43" s="7" t="n">
        <v>0.1</v>
      </c>
      <c r="C43" s="8" t="inlineStr">
        <is>
          <t>GMT 质押：每波利息比例</t>
        </is>
      </c>
    </row>
    <row r="44">
      <c r="A44" s="6" t="inlineStr">
        <is>
          <t>bankCap</t>
        </is>
      </c>
      <c r="B44" s="7" t="n">
        <v>60</v>
      </c>
      <c r="C44" s="8" t="inlineStr">
        <is>
          <t>GMT 质押：每波利息上限</t>
        </is>
      </c>
    </row>
    <row r="45">
      <c r="A45" s="6" t="inlineStr">
        <is>
          <t>goldenChance</t>
        </is>
      </c>
      <c r="B45" s="7" t="n">
        <v>0.1</v>
      </c>
      <c r="C45" s="8" t="inlineStr">
        <is>
          <t>神秘箱跑者出现概率</t>
        </is>
      </c>
    </row>
    <row r="46">
      <c r="A46" s="6" t="inlineStr">
        <is>
          <t>goldenMult</t>
        </is>
      </c>
      <c r="B46" s="7" t="n">
        <v>5</v>
      </c>
      <c r="C46" s="8" t="inlineStr">
        <is>
          <t>神秘箱跑者 GST 倍率</t>
        </is>
      </c>
    </row>
    <row r="47">
      <c r="A47" s="6" t="inlineStr">
        <is>
          <t>popRadius</t>
        </is>
      </c>
      <c r="B47" s="7" t="n">
        <v>34</v>
      </c>
      <c r="C47" s="8" t="inlineStr">
        <is>
          <t>Gas Hero 毒气半径</t>
        </is>
      </c>
    </row>
    <row r="48">
      <c r="A48" s="6" t="inlineStr">
        <is>
          <t>popBase</t>
        </is>
      </c>
      <c r="B48" s="7" t="n">
        <v>2</v>
      </c>
      <c r="C48" s="8" t="inlineStr">
        <is>
          <t>Gas Hero 毒气基础效果</t>
        </is>
      </c>
    </row>
    <row r="49">
      <c r="A49" s="6" t="inlineStr">
        <is>
          <t>popPerWave</t>
        </is>
      </c>
      <c r="B49" s="7" t="n">
        <v>0.5</v>
      </c>
      <c r="C49" s="8" t="inlineStr">
        <is>
          <t>Gas Hero 毒气每波增加的效果</t>
        </is>
      </c>
    </row>
    <row r="50">
      <c r="A50" s="6" t="inlineStr">
        <is>
          <t>popChainRadius</t>
        </is>
      </c>
      <c r="B50" s="7" t="n">
        <v>1.5</v>
      </c>
      <c r="C50" s="8" t="inlineStr">
        <is>
          <t>连环毒气：半径倍率</t>
        </is>
      </c>
    </row>
    <row r="51">
      <c r="A51" s="6" t="inlineStr">
        <is>
          <t>popChainDmg</t>
        </is>
      </c>
      <c r="B51" s="7" t="n">
        <v>2</v>
      </c>
      <c r="C51" s="8" t="inlineStr">
        <is>
          <t>连环毒气：效果倍率</t>
        </is>
      </c>
    </row>
    <row r="52">
      <c r="A52" s="6" t="inlineStr">
        <is>
          <t>twinChance</t>
        </is>
      </c>
      <c r="B52" s="7" t="n">
        <v>0.2</v>
      </c>
      <c r="C52" s="8" t="inlineStr">
        <is>
          <t>双倍铸造：立刻再出手概率</t>
        </is>
      </c>
    </row>
    <row r="53">
      <c r="A53" s="6" t="inlineStr">
        <is>
          <t>freeupFallback</t>
        </is>
      </c>
      <c r="B53" s="7" t="n">
        <v>100</v>
      </c>
      <c r="C53" s="8" t="inlineStr">
        <is>
          <t>鞋匠：场上没有装置时改给的 GST</t>
        </is>
      </c>
    </row>
    <row r="54">
      <c r="A54" s="6" t="inlineStr">
        <is>
          <t>spawnBase</t>
        </is>
      </c>
      <c r="B54" s="7" t="n">
        <v>0.62</v>
      </c>
      <c r="C54" s="8" t="inlineStr">
        <is>
          <t>出怪间隔基础值（秒）</t>
        </is>
      </c>
    </row>
    <row r="55">
      <c r="A55" s="6" t="inlineStr">
        <is>
          <t>spawnPerWave</t>
        </is>
      </c>
      <c r="B55" s="7" t="n">
        <v>0.022</v>
      </c>
      <c r="C55" s="8" t="inlineStr">
        <is>
          <t>出怪间隔每波缩短</t>
        </is>
      </c>
    </row>
    <row r="56">
      <c r="A56" s="6" t="inlineStr">
        <is>
          <t>spawnMin</t>
        </is>
      </c>
      <c r="B56" s="7" t="n">
        <v>0.28</v>
      </c>
      <c r="C56" s="8" t="inlineStr">
        <is>
          <t>出怪间隔下限</t>
        </is>
      </c>
    </row>
    <row r="57">
      <c r="A57" s="6" t="inlineStr">
        <is>
          <t>spawnArmorMult</t>
        </is>
      </c>
      <c r="B57" s="7" t="n">
        <v>1.3</v>
      </c>
      <c r="C57" s="8" t="inlineStr">
        <is>
          <t>耐力跑者、巨鲸出场后间隔倍率</t>
        </is>
      </c>
    </row>
    <row r="58">
      <c r="A58" s="6" t="inlineStr">
        <is>
          <t>hpRain</t>
        </is>
      </c>
      <c r="B58" s="7" t="n">
        <v>1.2</v>
      </c>
      <c r="C58" s="8" t="inlineStr">
        <is>
          <t>雨衣跑者体力 = 慢跑者体力 × 此值</t>
        </is>
      </c>
    </row>
    <row r="59">
      <c r="A59" s="6" t="inlineStr">
        <is>
          <t>hpHop</t>
        </is>
      </c>
      <c r="B59" s="7" t="n">
        <v>1</v>
      </c>
      <c r="C59" s="8" t="inlineStr">
        <is>
          <t>弹簧鞋跑者体力 = 慢跑者体力 × 此值</t>
        </is>
      </c>
    </row>
    <row r="60">
      <c r="A60" s="6" t="inlineStr">
        <is>
          <t>hpPhones</t>
        </is>
      </c>
      <c r="B60" s="7" t="n">
        <v>1.2</v>
      </c>
      <c r="C60" s="8" t="inlineStr">
        <is>
          <t>降噪耳机跑者体力 = 慢跑者体力 × 此值</t>
        </is>
      </c>
    </row>
    <row r="61">
      <c r="A61" s="6" t="inlineStr">
        <is>
          <t>hpWhale</t>
        </is>
      </c>
      <c r="B61" s="7" t="n">
        <v>3</v>
      </c>
      <c r="C61" s="8" t="inlineStr">
        <is>
          <t>巨鲸体力 = 耐力跑者体力 × 此值</t>
        </is>
      </c>
    </row>
    <row r="62">
      <c r="A62" s="6" t="inlineStr">
        <is>
          <t>hopDmg</t>
        </is>
      </c>
      <c r="B62" s="7" t="n">
        <v>0.2</v>
      </c>
      <c r="C62" s="8" t="inlineStr">
        <is>
          <t>弹簧鞋跑者跳过香蕉皮时只吃的效果比例</t>
        </is>
      </c>
    </row>
    <row r="63">
      <c r="A63" s="6" t="inlineStr">
        <is>
          <t>whaleMin</t>
        </is>
      </c>
      <c r="B63" s="7" t="n">
        <v>4</v>
      </c>
      <c r="C63" s="8" t="inlineStr">
        <is>
          <t>巨鲸：单次效果低于此值的攻击会被削弱</t>
        </is>
      </c>
    </row>
    <row r="64">
      <c r="A64" s="6" t="inlineStr">
        <is>
          <t>whaleChip</t>
        </is>
      </c>
      <c r="B64" s="7" t="n">
        <v>0.33</v>
      </c>
      <c r="C64" s="8" t="inlineStr">
        <is>
          <t>巨鲸：被削弱的攻击只算此比例</t>
        </is>
      </c>
    </row>
    <row r="65">
      <c r="A65" s="6" t="inlineStr">
        <is>
          <t>slowCap</t>
        </is>
      </c>
      <c r="B65" s="7" t="n">
        <v>0.85</v>
      </c>
      <c r="C65" s="8" t="inlineStr">
        <is>
          <t>减速上限</t>
        </is>
      </c>
    </row>
    <row r="66">
      <c r="A66" s="6" t="inlineStr">
        <is>
          <t>bossSlowMult</t>
        </is>
      </c>
      <c r="B66" s="7" t="n">
        <v>0.5</v>
      </c>
      <c r="C66" s="8" t="inlineStr">
        <is>
          <t>Boss 受减速的比例（未升「冰桶挑战」时）</t>
        </is>
      </c>
    </row>
    <row r="67">
      <c r="A67" s="6" t="inlineStr">
        <is>
          <t>bossStunMult</t>
        </is>
      </c>
      <c r="B67" s="7" t="n">
        <v>0.25</v>
      </c>
      <c r="C67" s="8" t="inlineStr">
        <is>
          <t>Boss 受眩晕时长比例</t>
        </is>
      </c>
    </row>
    <row r="68">
      <c r="A68" s="6" t="inlineStr">
        <is>
          <t>miniHp</t>
        </is>
      </c>
      <c r="B68" s="7" t="n">
        <v>0.35</v>
      </c>
      <c r="C68" s="8" t="inlineStr">
        <is>
          <t>跑团：跟跑者体力占原跑者比例</t>
        </is>
      </c>
    </row>
    <row r="69">
      <c r="A69" s="6" t="inlineStr">
        <is>
          <t>miniGold</t>
        </is>
      </c>
      <c r="B69" s="7" t="n">
        <v>2</v>
      </c>
      <c r="C69" s="8" t="inlineStr">
        <is>
          <t>跟跑者 GST</t>
        </is>
      </c>
    </row>
    <row r="70">
      <c r="A70" s="6" t="inlineStr">
        <is>
          <t>miniSpeed</t>
        </is>
      </c>
      <c r="B70" s="7" t="n">
        <v>1.15</v>
      </c>
      <c r="C70" s="8" t="inlineStr">
        <is>
          <t>跟跑者速度倍率</t>
        </is>
      </c>
    </row>
    <row r="71">
      <c r="A71" s="6" t="inlineStr">
        <is>
          <t>shieldPct</t>
        </is>
      </c>
      <c r="B71" s="7" t="n">
        <v>0.35</v>
      </c>
      <c r="C71" s="8" t="inlineStr">
        <is>
          <t>能量盾占体力比例</t>
        </is>
      </c>
    </row>
    <row r="72">
      <c r="A72" s="6" t="inlineStr">
        <is>
          <t>regenPct</t>
        </is>
      </c>
      <c r="B72" s="7" t="n">
        <v>0.05</v>
      </c>
      <c r="C72" s="8" t="inlineStr">
        <is>
          <t>补给词缀：每秒回复比例</t>
        </is>
      </c>
    </row>
    <row r="73">
      <c r="A73" s="6" t="inlineStr">
        <is>
          <t>regenDelay</t>
        </is>
      </c>
      <c r="B73" s="7" t="n">
        <v>1</v>
      </c>
      <c r="C73" s="8" t="inlineStr">
        <is>
          <t>补给词缀：多久没被干扰开始回复（秒）</t>
        </is>
      </c>
    </row>
    <row r="74">
      <c r="A74" s="6" t="inlineStr">
        <is>
          <t>swiftMult</t>
        </is>
      </c>
      <c r="B74" s="7" t="n">
        <v>1.4</v>
      </c>
      <c r="C74" s="8" t="inlineStr">
        <is>
          <t>冲刺词缀：速度倍率</t>
        </is>
      </c>
    </row>
    <row r="75">
      <c r="A75" s="6" t="inlineStr">
        <is>
          <t>shrapnelRange</t>
        </is>
      </c>
      <c r="B75" s="7" t="n">
        <v>90</v>
      </c>
      <c r="C75" s="8" t="inlineStr">
        <is>
          <t>香蕉碎片：溅射距离</t>
        </is>
      </c>
    </row>
    <row r="76">
      <c r="A76" s="6" t="inlineStr">
        <is>
          <t>shrapnelPct</t>
        </is>
      </c>
      <c r="B76" s="7" t="n">
        <v>0.3</v>
      </c>
      <c r="C76" s="8" t="inlineStr">
        <is>
          <t>香蕉碎片：每块效果比例</t>
        </is>
      </c>
    </row>
    <row r="77">
      <c r="A77" s="6" t="inlineStr">
        <is>
          <t>clusterPct</t>
        </is>
      </c>
      <c r="B77" s="7" t="n">
        <v>0.4</v>
      </c>
      <c r="C77" s="8" t="inlineStr">
        <is>
          <t>小香蕉：效果比例</t>
        </is>
      </c>
    </row>
    <row r="78">
      <c r="A78" s="6" t="inlineStr">
        <is>
          <t>firePatchDps</t>
        </is>
      </c>
      <c r="B78" s="7" t="n">
        <v>0.6</v>
      </c>
      <c r="C78" s="8" t="inlineStr">
        <is>
          <t>辣油泼地：每秒效果比例</t>
        </is>
      </c>
    </row>
    <row r="79">
      <c r="A79" s="6" t="inlineStr">
        <is>
          <t>infernoRadius</t>
        </is>
      </c>
      <c r="B79" s="7" t="n">
        <v>42</v>
      </c>
      <c r="C79" s="8" t="inlineStr">
        <is>
          <t>火锅底料：溅射半径</t>
        </is>
      </c>
    </row>
    <row r="80">
      <c r="A80" s="6" t="inlineStr">
        <is>
          <t>iceAgeFreeze</t>
        </is>
      </c>
      <c r="B80" s="7" t="n">
        <v>2</v>
      </c>
      <c r="C80" s="8" t="inlineStr">
        <is>
          <t>人工降雪：冻结时长（秒）</t>
        </is>
      </c>
    </row>
    <row r="81">
      <c r="A81" s="6" t="inlineStr">
        <is>
          <t>ricochetPct</t>
        </is>
      </c>
      <c r="B81" s="7" t="n">
        <v>0.5</v>
      </c>
      <c r="C81" s="8" t="inlineStr">
        <is>
          <t>弹跳鞋盒：效果比例</t>
        </is>
      </c>
    </row>
    <row r="82">
      <c r="A82" s="6" t="inlineStr">
        <is>
          <t>ricochetRange</t>
        </is>
      </c>
      <c r="B82" s="7" t="n">
        <v>120</v>
      </c>
      <c r="C82" s="8" t="inlineStr">
        <is>
          <t>弹跳鞋盒：弹跳距离</t>
        </is>
      </c>
    </row>
    <row r="83">
      <c r="A83" s="6" t="inlineStr">
        <is>
          <t>decapBossPct</t>
        </is>
      </c>
      <c r="B83" s="7" t="n">
        <v>0.15</v>
      </c>
      <c r="C83" s="8" t="inlineStr">
        <is>
          <t>神秘箱轰炸：扣 Boss 最大体力比例</t>
        </is>
      </c>
    </row>
    <row r="84">
      <c r="A84" s="6" t="inlineStr">
        <is>
          <t>decapMult</t>
        </is>
      </c>
      <c r="B84" s="7" t="n">
        <v>3</v>
      </c>
      <c r="C84" s="8" t="inlineStr">
        <is>
          <t>神秘箱轰炸：对非 Boss 倍率</t>
        </is>
      </c>
    </row>
    <row r="85">
      <c r="A85" s="6" t="inlineStr">
        <is>
          <t>teslaHop</t>
        </is>
      </c>
      <c r="B85" s="7" t="n">
        <v>70</v>
      </c>
      <c r="C85" s="8" t="inlineStr">
        <is>
          <t>广场舞音响：传播距离</t>
        </is>
      </c>
    </row>
    <row r="86">
      <c r="A86" s="6" t="inlineStr">
        <is>
          <t>blockTarget</t>
        </is>
      </c>
      <c r="B86" s="7" t="n">
        <v>16</v>
      </c>
      <c r="C86" s="8" t="inlineStr">
        <is>
          <t>挖矿：全网平均出块间隔（秒）</t>
        </is>
      </c>
    </row>
    <row r="87">
      <c r="A87" s="6" t="inlineStr">
        <is>
          <t>blockReward</t>
        </is>
      </c>
      <c r="B87" s="7" t="n">
        <v>5000</v>
      </c>
      <c r="C87" s="8" t="inlineStr">
        <is>
          <t>挖矿：每个区块奖励的聪</t>
        </is>
      </c>
    </row>
    <row r="88">
      <c r="A88" s="6" t="inlineStr">
        <is>
          <t>adjustEvery</t>
        </is>
      </c>
      <c r="B88" s="7" t="n">
        <v>3</v>
      </c>
      <c r="C88" s="8" t="inlineStr">
        <is>
          <t>挖矿：每多少个区块调整一次难度</t>
        </is>
      </c>
    </row>
    <row r="89">
      <c r="A89" s="6" t="inlineStr">
        <is>
          <t>netGrowth</t>
        </is>
      </c>
      <c r="B89" s="7" t="n">
        <v>0.15</v>
      </c>
      <c r="C89" s="8" t="inlineStr">
        <is>
          <t>挖矿：每次难度调整全网算力上涨比例</t>
        </is>
      </c>
    </row>
    <row r="90">
      <c r="A90" s="6" t="inlineStr">
        <is>
          <t>freeNet</t>
        </is>
      </c>
      <c r="B90" s="7" t="n">
        <v>3</v>
      </c>
      <c r="C90" s="8" t="inlineStr">
        <is>
          <t>挖矿：经典模式的全网初始算力</t>
        </is>
      </c>
    </row>
    <row r="91">
      <c r="A91" s="6" t="inlineStr">
        <is>
          <t>rerollSats</t>
        </is>
      </c>
      <c r="B91" s="7" t="n">
        <v>1500</v>
      </c>
      <c r="C91" s="8" t="inlineStr">
        <is>
          <t>区块奖励重抽一次花费的聪</t>
        </is>
      </c>
    </row>
    <row r="92">
      <c r="A92" s="6" t="inlineStr">
        <is>
          <t>padTrackGap</t>
        </is>
      </c>
      <c r="B92" s="7" t="n">
        <v>34</v>
      </c>
      <c r="C92" s="8" t="inlineStr">
        <is>
          <t>额外放置点：离跑道中心线的最小距离</t>
        </is>
      </c>
    </row>
    <row r="93">
      <c r="A93" s="6" t="inlineStr">
        <is>
          <t>padGap</t>
        </is>
      </c>
      <c r="B93" s="7" t="n">
        <v>32</v>
      </c>
      <c r="C93" s="8" t="inlineStr">
        <is>
          <t>额外放置点：离其他空位的最小距离</t>
        </is>
      </c>
    </row>
    <row r="94">
      <c r="A94" s="6" t="inlineStr">
        <is>
          <t>scoreKill</t>
        </is>
      </c>
      <c r="B94" s="7" t="n">
        <v>600</v>
      </c>
      <c r="C94" s="8" t="inlineStr">
        <is>
          <t>分数：劝退率权重</t>
        </is>
      </c>
    </row>
    <row r="95">
      <c r="A95" s="6" t="inlineStr">
        <is>
          <t>scoreLives</t>
        </is>
      </c>
      <c r="B95" s="7" t="n">
        <v>300</v>
      </c>
      <c r="C95" s="8" t="inlineStr">
        <is>
          <t>分数：剩余生命权重</t>
        </is>
      </c>
    </row>
    <row r="96">
      <c r="A96" s="6" t="inlineStr">
        <is>
          <t>scoreClean</t>
        </is>
      </c>
      <c r="B96" s="7" t="n">
        <v>100</v>
      </c>
      <c r="C96" s="8" t="inlineStr">
        <is>
          <t>分数：无漏怪波数权重</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6" customWidth="1" min="3" max="3"/>
    <col width="18" customWidth="1" min="4" max="4"/>
    <col width="10" customWidth="1" min="5" max="5"/>
    <col width="10" customWidth="1" min="6" max="6"/>
    <col width="12" customWidth="1" min="7" max="7"/>
    <col width="40" customWidth="1" min="8" max="8"/>
    <col width="40" customWidth="1" min="9" max="9"/>
    <col width="40"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0" customWidth="1" min="22" max="22"/>
  </cols>
  <sheetData>
    <row r="1" ht="30" customHeight="1">
      <c r="A1" s="4" t="inlineStr">
        <is>
          <t>id</t>
        </is>
      </c>
      <c r="B1" s="4" t="inlineStr">
        <is>
          <t>名称（中文）</t>
        </is>
      </c>
      <c r="C1" s="4" t="inlineStr">
        <is>
          <t>名称（English）</t>
        </is>
      </c>
      <c r="D1" s="4" t="inlineStr">
        <is>
          <t>名称（Français）</t>
        </is>
      </c>
      <c r="E1" s="4" t="inlineStr">
        <is>
          <t>简称（中文）</t>
        </is>
      </c>
      <c r="F1" s="4" t="inlineStr">
        <is>
          <t>简称（English）</t>
        </is>
      </c>
      <c r="G1" s="4" t="inlineStr">
        <is>
          <t>简称（Français）</t>
        </is>
      </c>
      <c r="H1" s="4" t="inlineStr">
        <is>
          <t>说明（中文）</t>
        </is>
      </c>
      <c r="I1" s="4" t="inlineStr">
        <is>
          <t>说明（English）</t>
        </is>
      </c>
      <c r="J1" s="4" t="inlineStr">
        <is>
          <t>说明（Français）</t>
        </is>
      </c>
      <c r="K1" s="4" t="inlineStr">
        <is>
          <t>放置价格</t>
        </is>
      </c>
      <c r="L1" s="4" t="inlineStr">
        <is>
          <t>效果</t>
        </is>
      </c>
      <c r="M1" s="4" t="inlineStr">
        <is>
          <t>出手间隔（秒）</t>
        </is>
      </c>
      <c r="N1" s="4" t="inlineStr">
        <is>
          <t>射程（999=全图）</t>
        </is>
      </c>
      <c r="O1" s="4" t="inlineStr">
        <is>
          <t>范围半径</t>
        </is>
      </c>
      <c r="P1" s="4" t="inlineStr">
        <is>
          <t>减速比例</t>
        </is>
      </c>
      <c r="Q1" s="4" t="inlineStr">
        <is>
          <t>湿滑持续（秒）</t>
        </is>
      </c>
      <c r="R1" s="4" t="inlineStr">
        <is>
          <t>传播人数</t>
        </is>
      </c>
      <c r="S1" s="4" t="inlineStr">
        <is>
          <t>传播衰减</t>
        </is>
      </c>
      <c r="T1" s="4" t="inlineStr">
        <is>
          <t>对耐力跑者效果</t>
        </is>
      </c>
      <c r="U1" s="4" t="inlineStr">
        <is>
          <t>对 Boss 效果</t>
        </is>
      </c>
      <c r="V1" s="4" t="inlineStr">
        <is>
          <t>颜色</t>
        </is>
      </c>
    </row>
    <row r="2">
      <c r="A2" s="5" t="inlineStr">
        <is>
          <t>id</t>
        </is>
      </c>
      <c r="B2" s="5" t="inlineStr">
        <is>
          <t>name_zh</t>
        </is>
      </c>
      <c r="C2" s="5" t="inlineStr">
        <is>
          <t>name_en</t>
        </is>
      </c>
      <c r="D2" s="5" t="inlineStr">
        <is>
          <t>name_fr</t>
        </is>
      </c>
      <c r="E2" s="5" t="inlineStr">
        <is>
          <t>short_zh</t>
        </is>
      </c>
      <c r="F2" s="5" t="inlineStr">
        <is>
          <t>short_en</t>
        </is>
      </c>
      <c r="G2" s="5" t="inlineStr">
        <is>
          <t>short_fr</t>
        </is>
      </c>
      <c r="H2" s="5" t="inlineStr">
        <is>
          <t>desc_zh</t>
        </is>
      </c>
      <c r="I2" s="5" t="inlineStr">
        <is>
          <t>desc_en</t>
        </is>
      </c>
      <c r="J2" s="5" t="inlineStr">
        <is>
          <t>desc_fr</t>
        </is>
      </c>
      <c r="K2" s="5" t="inlineStr">
        <is>
          <t>cost</t>
        </is>
      </c>
      <c r="L2" s="5" t="inlineStr">
        <is>
          <t>dmg</t>
        </is>
      </c>
      <c r="M2" s="5" t="inlineStr">
        <is>
          <t>rate</t>
        </is>
      </c>
      <c r="N2" s="5" t="inlineStr">
        <is>
          <t>range</t>
        </is>
      </c>
      <c r="O2" s="5" t="inlineStr">
        <is>
          <t>rad</t>
        </is>
      </c>
      <c r="P2" s="5" t="inlineStr">
        <is>
          <t>slow</t>
        </is>
      </c>
      <c r="Q2" s="5" t="inlineStr">
        <is>
          <t>slowDur</t>
        </is>
      </c>
      <c r="R2" s="5" t="inlineStr">
        <is>
          <t>chain</t>
        </is>
      </c>
      <c r="S2" s="5" t="inlineStr">
        <is>
          <t>decay</t>
        </is>
      </c>
      <c r="T2" s="5" t="inlineStr">
        <is>
          <t>armor</t>
        </is>
      </c>
      <c r="U2" s="5" t="inlineStr">
        <is>
          <t>bossMul</t>
        </is>
      </c>
      <c r="V2" s="5" t="inlineStr">
        <is>
          <t>color</t>
        </is>
      </c>
    </row>
    <row r="3">
      <c r="A3" s="6" t="inlineStr">
        <is>
          <t>dart</t>
        </is>
      </c>
      <c r="B3" s="8" t="inlineStr">
        <is>
          <t>易拉罐投手</t>
        </is>
      </c>
      <c r="C3" s="8" t="inlineStr">
        <is>
          <t>Can Thrower</t>
        </is>
      </c>
      <c r="D3" s="8" t="inlineStr">
        <is>
          <t>Lanceur de canettes</t>
        </is>
      </c>
      <c r="E3" s="8" t="inlineStr">
        <is>
          <t>易拉罐</t>
        </is>
      </c>
      <c r="F3" s="8" t="inlineStr">
        <is>
          <t>Can</t>
        </is>
      </c>
      <c r="G3" s="8" t="inlineStr">
        <is>
          <t>Canette</t>
        </is>
      </c>
      <c r="H3" s="8" t="inlineStr">
        <is>
          <t>单体速投易拉罐；对耐力跑者只有 25% 效果，「铁罐」2 级后破甲</t>
        </is>
      </c>
      <c r="I3" s="8" t="inlineStr">
        <is>
          <t>Rapid single-target cans; only 25% vs endurance runners until “Iron Can” tier 2</t>
        </is>
      </c>
      <c r="J3" s="8" t="inlineStr">
        <is>
          <t>Canettes rapides sur une cible ; 25 % contre les coureurs endurants jusqu’à « Canette en fer » niv. 2</t>
        </is>
      </c>
      <c r="K3" s="7" t="n">
        <v>100</v>
      </c>
      <c r="L3" s="7" t="n">
        <v>1</v>
      </c>
      <c r="M3" s="7" t="n">
        <v>0.5</v>
      </c>
      <c r="N3" s="7" t="n">
        <v>95</v>
      </c>
      <c r="O3" s="7" t="n">
        <v>0</v>
      </c>
      <c r="P3" s="7" t="n">
        <v>0</v>
      </c>
      <c r="Q3" s="7" t="n">
        <v>0</v>
      </c>
      <c r="R3" s="7" t="n">
        <v>0</v>
      </c>
      <c r="S3" s="7" t="n">
        <v>1</v>
      </c>
      <c r="T3" s="7" t="n">
        <v>0.25</v>
      </c>
      <c r="U3" s="7" t="n">
        <v>0.6</v>
      </c>
      <c r="V3" s="8" t="inlineStr">
        <is>
          <t>#ff6b6b</t>
        </is>
      </c>
    </row>
    <row r="4">
      <c r="A4" s="6" t="inlineStr">
        <is>
          <t>bomb</t>
        </is>
      </c>
      <c r="B4" s="8" t="inlineStr">
        <is>
          <t>香蕉皮投手</t>
        </is>
      </c>
      <c r="C4" s="8" t="inlineStr">
        <is>
          <t>Banana Peeler</t>
        </is>
      </c>
      <c r="D4" s="8" t="inlineStr">
        <is>
          <t>Lanceur de peaux de banane</t>
        </is>
      </c>
      <c r="E4" s="8" t="inlineStr">
        <is>
          <t>香蕉皮</t>
        </is>
      </c>
      <c r="F4" s="8" t="inlineStr">
        <is>
          <t>Banana</t>
        </is>
      </c>
      <c r="G4" s="8" t="inlineStr">
        <is>
          <t>Banane</t>
        </is>
      </c>
      <c r="H4" s="8" t="inlineStr">
        <is>
          <t>扔香蕉皮，一片跑者一起滑倒；耐力跑者的克星</t>
        </is>
      </c>
      <c r="I4" s="8" t="inlineStr">
        <is>
          <t>Throws banana peels that trip a whole group; counters endurance runners</t>
        </is>
      </c>
      <c r="J4" s="8" t="inlineStr">
        <is>
          <t>Lance des peaux de banane qui font glisser un groupe ; contre les endurants</t>
        </is>
      </c>
      <c r="K4" s="7" t="n">
        <v>160</v>
      </c>
      <c r="L4" s="7" t="n">
        <v>3</v>
      </c>
      <c r="M4" s="7" t="n">
        <v>1.3</v>
      </c>
      <c r="N4" s="7" t="n">
        <v>82</v>
      </c>
      <c r="O4" s="7" t="n">
        <v>40</v>
      </c>
      <c r="P4" s="7" t="n">
        <v>0</v>
      </c>
      <c r="Q4" s="7" t="n">
        <v>0</v>
      </c>
      <c r="R4" s="7" t="n">
        <v>0</v>
      </c>
      <c r="S4" s="7" t="n">
        <v>1</v>
      </c>
      <c r="T4" s="7" t="n">
        <v>1</v>
      </c>
      <c r="U4" s="7" t="n">
        <v>1</v>
      </c>
      <c r="V4" s="8" t="inlineStr">
        <is>
          <t>#ffd84a</t>
        </is>
      </c>
    </row>
    <row r="5">
      <c r="A5" s="6" t="inlineStr">
        <is>
          <t>frost</t>
        </is>
      </c>
      <c r="B5" s="8" t="inlineStr">
        <is>
          <t>洒水器</t>
        </is>
      </c>
      <c r="C5" s="8" t="inlineStr">
        <is>
          <t>Sprinkler</t>
        </is>
      </c>
      <c r="D5" s="8" t="inlineStr">
        <is>
          <t>Arroseur</t>
        </is>
      </c>
      <c r="E5" s="8" t="inlineStr">
        <is>
          <t>洒水器</t>
        </is>
      </c>
      <c r="F5" s="8" t="inlineStr">
        <is>
          <t>Sprinkler</t>
        </is>
      </c>
      <c r="G5" s="8" t="inlineStr">
        <is>
          <t>Arroseur</t>
        </is>
      </c>
      <c r="H5" s="8" t="inlineStr">
        <is>
          <t>洒水让跑道湿滑，范围减速</t>
        </is>
      </c>
      <c r="I5" s="8" t="inlineStr">
        <is>
          <t>Wets the track to slow an area</t>
        </is>
      </c>
      <c r="J5" s="8" t="inlineStr">
        <is>
          <t>Mouille la piste pour ralentir une zone</t>
        </is>
      </c>
      <c r="K5" s="7" t="n">
        <v>120</v>
      </c>
      <c r="L5" s="7" t="n">
        <v>0.5</v>
      </c>
      <c r="M5" s="7" t="n">
        <v>1.1</v>
      </c>
      <c r="N5" s="7" t="n">
        <v>72</v>
      </c>
      <c r="O5" s="7" t="n">
        <v>0</v>
      </c>
      <c r="P5" s="7" t="n">
        <v>0.35</v>
      </c>
      <c r="Q5" s="7" t="n">
        <v>1.5</v>
      </c>
      <c r="R5" s="7" t="n">
        <v>0</v>
      </c>
      <c r="S5" s="7" t="n">
        <v>1</v>
      </c>
      <c r="T5" s="7" t="n">
        <v>0.5</v>
      </c>
      <c r="U5" s="7" t="n">
        <v>1</v>
      </c>
      <c r="V5" s="8" t="inlineStr">
        <is>
          <t>#6fc3ff</t>
        </is>
      </c>
    </row>
    <row r="6">
      <c r="A6" s="6" t="inlineStr">
        <is>
          <t>sniper</t>
        </is>
      </c>
      <c r="B6" s="8" t="inlineStr">
        <is>
          <t>鞋盒无人机</t>
        </is>
      </c>
      <c r="C6" s="8" t="inlineStr">
        <is>
          <t>Shoebox Drone</t>
        </is>
      </c>
      <c r="D6" s="8" t="inlineStr">
        <is>
          <t>Drone à boîtes</t>
        </is>
      </c>
      <c r="E6" s="8" t="inlineStr">
        <is>
          <t>无人机</t>
        </is>
      </c>
      <c r="F6" s="8" t="inlineStr">
        <is>
          <t>Drone</t>
        </is>
      </c>
      <c r="G6" s="8" t="inlineStr">
        <is>
          <t>Drone</t>
        </is>
      </c>
      <c r="H6" s="8" t="inlineStr">
        <is>
          <t>全图空投鞋盒，专砸体力最多的跑者，无视耐力</t>
        </is>
      </c>
      <c r="I6" s="8" t="inlineStr">
        <is>
          <t>Drops shoeboxes anywhere on the strongest runner, ignores endurance</t>
        </is>
      </c>
      <c r="J6" s="8" t="inlineStr">
        <is>
          <t>Largue des boîtes partout sur le coureur le plus endurant, ignore l’endurance</t>
        </is>
      </c>
      <c r="K6" s="7" t="n">
        <v>180</v>
      </c>
      <c r="L6" s="7" t="n">
        <v>6</v>
      </c>
      <c r="M6" s="7" t="n">
        <v>1.7</v>
      </c>
      <c r="N6" s="7" t="n">
        <v>999</v>
      </c>
      <c r="O6" s="7" t="n">
        <v>0</v>
      </c>
      <c r="P6" s="7" t="n">
        <v>0</v>
      </c>
      <c r="Q6" s="7" t="n">
        <v>0</v>
      </c>
      <c r="R6" s="7" t="n">
        <v>0</v>
      </c>
      <c r="S6" s="7" t="n">
        <v>1</v>
      </c>
      <c r="T6" s="7" t="n">
        <v>1</v>
      </c>
      <c r="U6" s="7" t="n">
        <v>1</v>
      </c>
      <c r="V6" s="8" t="inlineStr">
        <is>
          <t>#ff9d7a</t>
        </is>
      </c>
    </row>
    <row r="7">
      <c r="A7" s="6" t="inlineStr">
        <is>
          <t>tesla</t>
        </is>
      </c>
      <c r="B7" s="8" t="inlineStr">
        <is>
          <t>广场舞音响</t>
        </is>
      </c>
      <c r="C7" s="8" t="inlineStr">
        <is>
          <t>Dance Speaker</t>
        </is>
      </c>
      <c r="D7" s="8" t="inlineStr">
        <is>
          <t>Enceinte de danse</t>
        </is>
      </c>
      <c r="E7" s="8" t="inlineStr">
        <is>
          <t>音响</t>
        </is>
      </c>
      <c r="F7" s="8" t="inlineStr">
        <is>
          <t>Speaker</t>
        </is>
      </c>
      <c r="G7" s="8" t="inlineStr">
        <is>
          <t>Enceinte</t>
        </is>
      </c>
      <c r="H7" s="8" t="inlineStr">
        <is>
          <t>洗脑神曲在跑者之间传播，一次影响好几个</t>
        </is>
      </c>
      <c r="I7" s="8" t="inlineStr">
        <is>
          <t>An earworm hops between runners, hitting several at once</t>
        </is>
      </c>
      <c r="J7" s="8" t="inlineStr">
        <is>
          <t>Un tube entêtant passe d’un coureur à l’autre</t>
        </is>
      </c>
      <c r="K7" s="7" t="n">
        <v>150</v>
      </c>
      <c r="L7" s="7" t="n">
        <v>2</v>
      </c>
      <c r="M7" s="7" t="n">
        <v>0.9</v>
      </c>
      <c r="N7" s="7" t="n">
        <v>88</v>
      </c>
      <c r="O7" s="7" t="n">
        <v>0</v>
      </c>
      <c r="P7" s="7" t="n">
        <v>0</v>
      </c>
      <c r="Q7" s="7" t="n">
        <v>0</v>
      </c>
      <c r="R7" s="7" t="n">
        <v>3</v>
      </c>
      <c r="S7" s="7" t="n">
        <v>0.85</v>
      </c>
      <c r="T7" s="7" t="n">
        <v>0.5</v>
      </c>
      <c r="U7" s="7" t="n">
        <v>1</v>
      </c>
      <c r="V7" s="8" t="inlineStr">
        <is>
          <t>#ff8fd0</t>
        </is>
      </c>
    </row>
    <row r="8">
      <c r="A8" s="6" t="inlineStr">
        <is>
          <t>miner</t>
        </is>
      </c>
      <c r="B8" s="8" t="inlineStr">
        <is>
          <t>矿机</t>
        </is>
      </c>
      <c r="C8" s="8" t="inlineStr">
        <is>
          <t>Miner</t>
        </is>
      </c>
      <c r="D8" s="8" t="inlineStr">
        <is>
          <t>Mineur</t>
        </is>
      </c>
      <c r="E8" s="8" t="inlineStr">
        <is>
          <t>矿机</t>
        </is>
      </c>
      <c r="F8" s="8" t="inlineStr">
        <is>
          <t>Miner</t>
        </is>
      </c>
      <c r="G8" s="8" t="inlineStr">
        <is>
          <t>Mineur</t>
        </is>
      </c>
      <c r="H8" s="8" t="inlineStr">
        <is>
          <t>不攻击，比赛中不停算题挖区块：挖到区块得聪和一次三选一</t>
        </is>
      </c>
      <c r="I8" s="8" t="inlineStr">
        <is>
          <t>Doesn’t attack; keeps hashing during the race. Win a block for sats and a pick-one-of-three</t>
        </is>
      </c>
      <c r="J8" s="8" t="inlineStr">
        <is>
          <t>N’attaque pas ; calcule pendant la course. Bloc gagné : des sats et un choix parmi trois</t>
        </is>
      </c>
      <c r="K8" s="7" t="n">
        <v>120</v>
      </c>
      <c r="L8" s="7" t="n">
        <v>0</v>
      </c>
      <c r="M8" s="7" t="n">
        <v>1</v>
      </c>
      <c r="N8" s="7" t="n">
        <v>70</v>
      </c>
      <c r="O8" s="7" t="n">
        <v>0</v>
      </c>
      <c r="P8" s="7" t="n">
        <v>0</v>
      </c>
      <c r="Q8" s="7" t="n">
        <v>0</v>
      </c>
      <c r="R8" s="7" t="n">
        <v>0</v>
      </c>
      <c r="S8" s="7" t="n">
        <v>1</v>
      </c>
      <c r="T8" s="7" t="n">
        <v>1</v>
      </c>
      <c r="U8" s="7" t="n">
        <v>1</v>
      </c>
      <c r="V8" s="8" t="inlineStr">
        <is>
          <t>#f7931a</t>
        </is>
      </c>
    </row>
    <row r="9">
      <c r="A9" s="6" t="inlineStr">
        <is>
          <t>gem</t>
        </is>
      </c>
      <c r="B9" s="8" t="inlineStr">
        <is>
          <t>宝石发射器</t>
        </is>
      </c>
      <c r="C9" s="8" t="inlineStr">
        <is>
          <t>Gem Launcher</t>
        </is>
      </c>
      <c r="D9" s="8" t="inlineStr">
        <is>
          <t>Lance-gemmes</t>
        </is>
      </c>
      <c r="E9" s="8" t="inlineStr">
        <is>
          <t>宝石</t>
        </is>
      </c>
      <c r="F9" s="8" t="inlineStr">
        <is>
          <t>Gems</t>
        </is>
      </c>
      <c r="G9" s="8" t="inlineStr">
        <is>
          <t>Gemmes</t>
        </is>
      </c>
      <c r="H9" s="8" t="inlineStr">
        <is>
          <t>发射宝石：红宝石主攻暴击，黄宝石主攻连发和 GST，蓝宝石减速冻结</t>
        </is>
      </c>
      <c r="I9" s="8" t="inlineStr">
        <is>
          <t>Fires gems: ruby for crits, topaz for multi-shot and GST, sapphire to slow and freeze</t>
        </is>
      </c>
      <c r="J9" s="8" t="inlineStr">
        <is>
          <t>Tire des gemmes : rubis pour les critiques, topaze pour les tirs multiples et le GST, saphir pour ralentir et geler</t>
        </is>
      </c>
      <c r="K9" s="7" t="n">
        <v>140</v>
      </c>
      <c r="L9" s="7" t="n">
        <v>1.5</v>
      </c>
      <c r="M9" s="7" t="n">
        <v>0.7</v>
      </c>
      <c r="N9" s="7" t="n">
        <v>100</v>
      </c>
      <c r="O9" s="7" t="n">
        <v>0</v>
      </c>
      <c r="P9" s="7" t="n">
        <v>0</v>
      </c>
      <c r="Q9" s="7" t="n">
        <v>0</v>
      </c>
      <c r="R9" s="7" t="n">
        <v>0</v>
      </c>
      <c r="S9" s="7" t="n">
        <v>1</v>
      </c>
      <c r="T9" s="7" t="n">
        <v>0.6</v>
      </c>
      <c r="U9" s="7" t="n">
        <v>1</v>
      </c>
      <c r="V9" s="8" t="inlineStr">
        <is>
          <t>#00a6f4</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16" customWidth="1" min="3" max="3"/>
    <col width="20" customWidth="1" min="4" max="4"/>
    <col width="24" customWidth="1" min="5" max="5"/>
  </cols>
  <sheetData>
    <row r="1" ht="30" customHeight="1">
      <c r="A1" s="4" t="inlineStr">
        <is>
          <t>装置 id</t>
        </is>
      </c>
      <c r="B1" s="4" t="inlineStr">
        <is>
          <t>路线</t>
        </is>
      </c>
      <c r="C1" s="4" t="inlineStr">
        <is>
          <t>路线名称（中文）</t>
        </is>
      </c>
      <c r="D1" s="4" t="inlineStr">
        <is>
          <t>路线名称（English）</t>
        </is>
      </c>
      <c r="E1" s="4" t="inlineStr">
        <is>
          <t>路线名称（Français）</t>
        </is>
      </c>
    </row>
    <row r="2">
      <c r="A2" s="5" t="inlineStr">
        <is>
          <t>tower</t>
        </is>
      </c>
      <c r="B2" s="5" t="inlineStr">
        <is>
          <t>path</t>
        </is>
      </c>
      <c r="C2" s="5" t="inlineStr">
        <is>
          <t>name_zh</t>
        </is>
      </c>
      <c r="D2" s="5" t="inlineStr">
        <is>
          <t>name_en</t>
        </is>
      </c>
      <c r="E2" s="5" t="inlineStr">
        <is>
          <t>name_fr</t>
        </is>
      </c>
    </row>
    <row r="3">
      <c r="A3" s="6" t="inlineStr">
        <is>
          <t>miner</t>
        </is>
      </c>
      <c r="B3" s="6" t="n">
        <v>1</v>
      </c>
      <c r="C3" s="8" t="inlineStr">
        <is>
          <t>算力</t>
        </is>
      </c>
      <c r="D3" s="8" t="inlineStr">
        <is>
          <t>Hash</t>
        </is>
      </c>
      <c r="E3" s="8" t="inlineStr">
        <is>
          <t>Puissance</t>
        </is>
      </c>
    </row>
    <row r="4">
      <c r="A4" s="6" t="inlineStr">
        <is>
          <t>miner</t>
        </is>
      </c>
      <c r="B4" s="6" t="n">
        <v>2</v>
      </c>
      <c r="C4" s="8" t="inlineStr">
        <is>
          <t>矿池</t>
        </is>
      </c>
      <c r="D4" s="8" t="inlineStr">
        <is>
          <t>Pool</t>
        </is>
      </c>
      <c r="E4" s="8" t="inlineStr">
        <is>
          <t>Pool</t>
        </is>
      </c>
    </row>
    <row r="5">
      <c r="A5" s="6" t="inlineStr">
        <is>
          <t>miner</t>
        </is>
      </c>
      <c r="B5" s="6" t="n">
        <v>3</v>
      </c>
      <c r="C5" s="8" t="inlineStr">
        <is>
          <t>散热</t>
        </is>
      </c>
      <c r="D5" s="8" t="inlineStr">
        <is>
          <t>Cooling</t>
        </is>
      </c>
      <c r="E5" s="8" t="inlineStr">
        <is>
          <t>Refroidissement</t>
        </is>
      </c>
    </row>
    <row r="6">
      <c r="A6" s="6" t="inlineStr">
        <is>
          <t>gem</t>
        </is>
      </c>
      <c r="B6" s="6" t="n">
        <v>1</v>
      </c>
      <c r="C6" s="8" t="inlineStr">
        <is>
          <t>红宝石</t>
        </is>
      </c>
      <c r="D6" s="8" t="inlineStr">
        <is>
          <t>Ruby</t>
        </is>
      </c>
      <c r="E6" s="8" t="inlineStr">
        <is>
          <t>Rubis</t>
        </is>
      </c>
    </row>
    <row r="7">
      <c r="A7" s="6" t="inlineStr">
        <is>
          <t>gem</t>
        </is>
      </c>
      <c r="B7" s="6" t="n">
        <v>2</v>
      </c>
      <c r="C7" s="8" t="inlineStr">
        <is>
          <t>黄宝石</t>
        </is>
      </c>
      <c r="D7" s="8" t="inlineStr">
        <is>
          <t>Topaz</t>
        </is>
      </c>
      <c r="E7" s="8" t="inlineStr">
        <is>
          <t>Topaze</t>
        </is>
      </c>
    </row>
    <row r="8">
      <c r="A8" s="6" t="inlineStr">
        <is>
          <t>gem</t>
        </is>
      </c>
      <c r="B8" s="6" t="n">
        <v>3</v>
      </c>
      <c r="C8" s="8" t="inlineStr">
        <is>
          <t>蓝宝石</t>
        </is>
      </c>
      <c r="D8" s="8" t="inlineStr">
        <is>
          <t>Sapphire</t>
        </is>
      </c>
      <c r="E8" s="8" t="inlineStr">
        <is>
          <t>Saphir</t>
        </is>
      </c>
    </row>
    <row r="9">
      <c r="A9" s="6" t="inlineStr">
        <is>
          <t>dart</t>
        </is>
      </c>
      <c r="B9" s="6" t="n">
        <v>1</v>
      </c>
      <c r="C9" s="8" t="inlineStr">
        <is>
          <t>铁罐</t>
        </is>
      </c>
      <c r="D9" s="8" t="inlineStr">
        <is>
          <t>Iron Can</t>
        </is>
      </c>
      <c r="E9" s="8" t="inlineStr">
        <is>
          <t>Canette en fer</t>
        </is>
      </c>
    </row>
    <row r="10">
      <c r="A10" s="6" t="inlineStr">
        <is>
          <t>dart</t>
        </is>
      </c>
      <c r="B10" s="6" t="n">
        <v>2</v>
      </c>
      <c r="C10" s="8" t="inlineStr">
        <is>
          <t>连投</t>
        </is>
      </c>
      <c r="D10" s="8" t="inlineStr">
        <is>
          <t>Rapid Toss</t>
        </is>
      </c>
      <c r="E10" s="8" t="inlineStr">
        <is>
          <t>Lancers rapides</t>
        </is>
      </c>
    </row>
    <row r="11">
      <c r="A11" s="6" t="inlineStr">
        <is>
          <t>dart</t>
        </is>
      </c>
      <c r="B11" s="6" t="n">
        <v>3</v>
      </c>
      <c r="C11" s="8" t="inlineStr">
        <is>
          <t>瞄准</t>
        </is>
      </c>
      <c r="D11" s="8" t="inlineStr">
        <is>
          <t>Aim</t>
        </is>
      </c>
      <c r="E11" s="8" t="inlineStr">
        <is>
          <t>Visée</t>
        </is>
      </c>
    </row>
    <row r="12">
      <c r="A12" s="6" t="inlineStr">
        <is>
          <t>bomb</t>
        </is>
      </c>
      <c r="B12" s="6" t="n">
        <v>1</v>
      </c>
      <c r="C12" s="8" t="inlineStr">
        <is>
          <t>大香蕉</t>
        </is>
      </c>
      <c r="D12" s="8" t="inlineStr">
        <is>
          <t>Big Banana</t>
        </is>
      </c>
      <c r="E12" s="8" t="inlineStr">
        <is>
          <t>Grosse banane</t>
        </is>
      </c>
    </row>
    <row r="13">
      <c r="A13" s="6" t="inlineStr">
        <is>
          <t>bomb</t>
        </is>
      </c>
      <c r="B13" s="6" t="n">
        <v>2</v>
      </c>
      <c r="C13" s="8" t="inlineStr">
        <is>
          <t>一串香蕉</t>
        </is>
      </c>
      <c r="D13" s="8" t="inlineStr">
        <is>
          <t>Banana Bunch</t>
        </is>
      </c>
      <c r="E13" s="8" t="inlineStr">
        <is>
          <t>Régime de bananes</t>
        </is>
      </c>
    </row>
    <row r="14">
      <c r="A14" s="6" t="inlineStr">
        <is>
          <t>bomb</t>
        </is>
      </c>
      <c r="B14" s="6" t="n">
        <v>3</v>
      </c>
      <c r="C14" s="8" t="inlineStr">
        <is>
          <t>辣椒油</t>
        </is>
      </c>
      <c r="D14" s="8" t="inlineStr">
        <is>
          <t>Chili Oil</t>
        </is>
      </c>
      <c r="E14" s="8" t="inlineStr">
        <is>
          <t>Huile pimentée</t>
        </is>
      </c>
    </row>
    <row r="15">
      <c r="A15" s="6" t="inlineStr">
        <is>
          <t>frost</t>
        </is>
      </c>
      <c r="B15" s="6" t="n">
        <v>1</v>
      </c>
      <c r="C15" s="8" t="inlineStr">
        <is>
          <t>冰水</t>
        </is>
      </c>
      <c r="D15" s="8" t="inlineStr">
        <is>
          <t>Ice Water</t>
        </is>
      </c>
      <c r="E15" s="8" t="inlineStr">
        <is>
          <t>Eau glacée</t>
        </is>
      </c>
    </row>
    <row r="16">
      <c r="A16" s="6" t="inlineStr">
        <is>
          <t>frost</t>
        </is>
      </c>
      <c r="B16" s="6" t="n">
        <v>2</v>
      </c>
      <c r="C16" s="8" t="inlineStr">
        <is>
          <t>高压水枪</t>
        </is>
      </c>
      <c r="D16" s="8" t="inlineStr">
        <is>
          <t>Pressure Washer</t>
        </is>
      </c>
      <c r="E16" s="8" t="inlineStr">
        <is>
          <t>Nettoyeur haute pression</t>
        </is>
      </c>
    </row>
    <row r="17">
      <c r="A17" s="6" t="inlineStr">
        <is>
          <t>frost</t>
        </is>
      </c>
      <c r="B17" s="6" t="n">
        <v>3</v>
      </c>
      <c r="C17" s="8" t="inlineStr">
        <is>
          <t>补水站</t>
        </is>
      </c>
      <c r="D17" s="8" t="inlineStr">
        <is>
          <t>Water Station</t>
        </is>
      </c>
      <c r="E17" s="8" t="inlineStr">
        <is>
          <t>Point d’eau</t>
        </is>
      </c>
    </row>
    <row r="18">
      <c r="A18" s="6" t="inlineStr">
        <is>
          <t>sniper</t>
        </is>
      </c>
      <c r="B18" s="6" t="n">
        <v>1</v>
      </c>
      <c r="C18" s="8" t="inlineStr">
        <is>
          <t>重型鞋盒</t>
        </is>
      </c>
      <c r="D18" s="8" t="inlineStr">
        <is>
          <t>Heavy Box</t>
        </is>
      </c>
      <c r="E18" s="8" t="inlineStr">
        <is>
          <t>Boîte lourde</t>
        </is>
      </c>
    </row>
    <row r="19">
      <c r="A19" s="6" t="inlineStr">
        <is>
          <t>sniper</t>
        </is>
      </c>
      <c r="B19" s="6" t="n">
        <v>2</v>
      </c>
      <c r="C19" s="8" t="inlineStr">
        <is>
          <t>快递</t>
        </is>
      </c>
      <c r="D19" s="8" t="inlineStr">
        <is>
          <t>Express</t>
        </is>
      </c>
      <c r="E19" s="8" t="inlineStr">
        <is>
          <t>Express</t>
        </is>
      </c>
    </row>
    <row r="20">
      <c r="A20" s="6" t="inlineStr">
        <is>
          <t>sniper</t>
        </is>
      </c>
      <c r="B20" s="6" t="n">
        <v>3</v>
      </c>
      <c r="C20" s="8" t="inlineStr">
        <is>
          <t>空投支援</t>
        </is>
      </c>
      <c r="D20" s="8" t="inlineStr">
        <is>
          <t>Airdrop Support</t>
        </is>
      </c>
      <c r="E20" s="8" t="inlineStr">
        <is>
          <t>Soutien largage</t>
        </is>
      </c>
    </row>
    <row r="21">
      <c r="A21" s="6" t="inlineStr">
        <is>
          <t>tesla</t>
        </is>
      </c>
      <c r="B21" s="6" t="n">
        <v>1</v>
      </c>
      <c r="C21" s="8" t="inlineStr">
        <is>
          <t>传唱</t>
        </is>
      </c>
      <c r="D21" s="8" t="inlineStr">
        <is>
          <t>Sing-along</t>
        </is>
      </c>
      <c r="E21" s="8" t="inlineStr">
        <is>
          <t>Refrain</t>
        </is>
      </c>
    </row>
    <row r="22">
      <c r="A22" s="6" t="inlineStr">
        <is>
          <t>tesla</t>
        </is>
      </c>
      <c r="B22" s="6" t="n">
        <v>2</v>
      </c>
      <c r="C22" s="8" t="inlineStr">
        <is>
          <t>重低音</t>
        </is>
      </c>
      <c r="D22" s="8" t="inlineStr">
        <is>
          <t>Heavy Bass</t>
        </is>
      </c>
      <c r="E22" s="8" t="inlineStr">
        <is>
          <t>Basses lourdes</t>
        </is>
      </c>
    </row>
    <row r="23">
      <c r="A23" s="6" t="inlineStr">
        <is>
          <t>tesla</t>
        </is>
      </c>
      <c r="B23" s="6" t="n">
        <v>3</v>
      </c>
      <c r="C23" s="8" t="inlineStr">
        <is>
          <t>洗脑神曲</t>
        </is>
      </c>
      <c r="D23" s="8" t="inlineStr">
        <is>
          <t>Earworm</t>
        </is>
      </c>
      <c r="E23" s="8" t="inlineStr">
        <is>
          <t>Tube entêtant</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10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6" customWidth="1" min="3" max="3"/>
    <col width="16" customWidth="1" min="4" max="4"/>
    <col width="20" customWidth="1" min="5" max="5"/>
    <col width="22" customWidth="1" min="6" max="6"/>
    <col width="9" customWidth="1" min="7" max="7"/>
    <col width="36" customWidth="1" min="8" max="8"/>
    <col width="40" customWidth="1" min="9" max="9"/>
    <col width="42" customWidth="1" min="10" max="10"/>
    <col width="28" customWidth="1" min="11" max="11"/>
    <col width="12" customWidth="1" min="12" max="12"/>
  </cols>
  <sheetData>
    <row r="1" ht="30" customHeight="1">
      <c r="A1" s="4" t="inlineStr">
        <is>
          <t>装置 id</t>
        </is>
      </c>
      <c r="B1" s="4" t="inlineStr">
        <is>
          <t>路线</t>
        </is>
      </c>
      <c r="C1" s="4" t="inlineStr">
        <is>
          <t>等级</t>
        </is>
      </c>
      <c r="D1" s="4" t="inlineStr">
        <is>
          <t>名称（中文）</t>
        </is>
      </c>
      <c r="E1" s="4" t="inlineStr">
        <is>
          <t>名称（English）</t>
        </is>
      </c>
      <c r="F1" s="4" t="inlineStr">
        <is>
          <t>名称（Français）</t>
        </is>
      </c>
      <c r="G1" s="4" t="inlineStr">
        <is>
          <t>价格</t>
        </is>
      </c>
      <c r="H1" s="4" t="inlineStr">
        <is>
          <t>说明（中文）</t>
        </is>
      </c>
      <c r="I1" s="4" t="inlineStr">
        <is>
          <t>说明（English）</t>
        </is>
      </c>
      <c r="J1" s="4" t="inlineStr">
        <is>
          <t>说明（Français）</t>
        </is>
      </c>
      <c r="K1" s="4" t="inlineStr">
        <is>
          <t>效果（见「效果语法」）</t>
        </is>
      </c>
      <c r="L1" s="4" t="inlineStr">
        <is>
          <t>本路线累计花费</t>
        </is>
      </c>
    </row>
    <row r="2">
      <c r="A2" s="5" t="inlineStr">
        <is>
          <t>tower</t>
        </is>
      </c>
      <c r="B2" s="5" t="inlineStr">
        <is>
          <t>path</t>
        </is>
      </c>
      <c r="C2" s="5" t="inlineStr">
        <is>
          <t>tier</t>
        </is>
      </c>
      <c r="D2" s="5" t="inlineStr">
        <is>
          <t>name_zh</t>
        </is>
      </c>
      <c r="E2" s="5" t="inlineStr">
        <is>
          <t>name_en</t>
        </is>
      </c>
      <c r="F2" s="5" t="inlineStr">
        <is>
          <t>name_fr</t>
        </is>
      </c>
      <c r="G2" s="5" t="inlineStr">
        <is>
          <t>cost</t>
        </is>
      </c>
      <c r="H2" s="5" t="inlineStr">
        <is>
          <t>desc_zh</t>
        </is>
      </c>
      <c r="I2" s="5" t="inlineStr">
        <is>
          <t>desc_en</t>
        </is>
      </c>
      <c r="J2" s="5" t="inlineStr">
        <is>
          <t>desc_fr</t>
        </is>
      </c>
      <c r="K2" s="5" t="inlineStr">
        <is>
          <t>effect</t>
        </is>
      </c>
      <c r="L2" s="5" t="inlineStr"/>
    </row>
    <row r="3">
      <c r="A3" s="6" t="inlineStr">
        <is>
          <t>miner</t>
        </is>
      </c>
      <c r="B3" s="6" t="n">
        <v>1</v>
      </c>
      <c r="C3" s="6" t="n">
        <v>1</v>
      </c>
      <c r="D3" s="8" t="inlineStr">
        <is>
          <t>超频 CPU</t>
        </is>
      </c>
      <c r="E3" s="8" t="inlineStr">
        <is>
          <t>Overclocked CPU</t>
        </is>
      </c>
      <c r="F3" s="8" t="inlineStr">
        <is>
          <t>CPU surcadencé</t>
        </is>
      </c>
      <c r="G3" s="7" t="n">
        <v>60</v>
      </c>
      <c r="H3" s="8" t="inlineStr">
        <is>
          <t>算力 +50%</t>
        </is>
      </c>
      <c r="I3" s="8" t="inlineStr">
        <is>
          <t>Hash +50%</t>
        </is>
      </c>
      <c r="J3" s="8" t="inlineStr">
        <is>
          <t>Puissance +50 %</t>
        </is>
      </c>
      <c r="K3" s="7" t="inlineStr">
        <is>
          <t>hash*=1.5</t>
        </is>
      </c>
      <c r="L3" s="9">
        <f>SUMIFS($G$3:$G$107,$A$3:$A$107,A3,$B$3:$B$107,B3,$C$3:$C$107,"&lt;="&amp;C3)</f>
        <v/>
      </c>
    </row>
    <row r="4">
      <c r="A4" s="6" t="inlineStr">
        <is>
          <t>miner</t>
        </is>
      </c>
      <c r="B4" s="6" t="n">
        <v>1</v>
      </c>
      <c r="C4" s="6" t="n">
        <v>2</v>
      </c>
      <c r="D4" s="8" t="inlineStr">
        <is>
          <t>双核处理器</t>
        </is>
      </c>
      <c r="E4" s="8" t="inlineStr">
        <is>
          <t>Dual-core CPU</t>
        </is>
      </c>
      <c r="F4" s="8" t="inlineStr">
        <is>
          <t>Processeur double cœur</t>
        </is>
      </c>
      <c r="G4" s="7" t="n">
        <v>120</v>
      </c>
      <c r="H4" s="8" t="inlineStr">
        <is>
          <t>算力 +50%</t>
        </is>
      </c>
      <c r="I4" s="8" t="inlineStr">
        <is>
          <t>Hash +50%</t>
        </is>
      </c>
      <c r="J4" s="8" t="inlineStr">
        <is>
          <t>Puissance +50 %</t>
        </is>
      </c>
      <c r="K4" s="7" t="inlineStr">
        <is>
          <t>hash*=1.5</t>
        </is>
      </c>
      <c r="L4" s="9">
        <f>SUMIFS($G$3:$G$107,$A$3:$A$107,A4,$B$3:$B$107,B4,$C$3:$C$107,"&lt;="&amp;C4)</f>
        <v/>
      </c>
    </row>
    <row r="5">
      <c r="A5" s="6" t="inlineStr">
        <is>
          <t>miner</t>
        </is>
      </c>
      <c r="B5" s="6" t="n">
        <v>1</v>
      </c>
      <c r="C5" s="6" t="n">
        <v>3</v>
      </c>
      <c r="D5" s="8" t="inlineStr">
        <is>
          <t>显卡挖矿</t>
        </is>
      </c>
      <c r="E5" s="8" t="inlineStr">
        <is>
          <t>GPU Mining</t>
        </is>
      </c>
      <c r="F5" s="8" t="inlineStr">
        <is>
          <t>Minage GPU</t>
        </is>
      </c>
      <c r="G5" s="7" t="n">
        <v>300</v>
      </c>
      <c r="H5" s="8" t="inlineStr">
        <is>
          <t>算力 ×3（2010 年显卡挖矿开始流行）</t>
        </is>
      </c>
      <c r="I5" s="8" t="inlineStr">
        <is>
          <t>Hash ×3 (GPU mining took off in 2010)</t>
        </is>
      </c>
      <c r="J5" s="8" t="inlineStr">
        <is>
          <t>Puissance ×3 (le minage GPU décolle en 2010)</t>
        </is>
      </c>
      <c r="K5" s="7" t="inlineStr">
        <is>
          <t>hash*=3</t>
        </is>
      </c>
      <c r="L5" s="9">
        <f>SUMIFS($G$3:$G$107,$A$3:$A$107,A5,$B$3:$B$107,B5,$C$3:$C$107,"&lt;="&amp;C5)</f>
        <v/>
      </c>
    </row>
    <row r="6">
      <c r="A6" s="6" t="inlineStr">
        <is>
          <t>miner</t>
        </is>
      </c>
      <c r="B6" s="6" t="n">
        <v>1</v>
      </c>
      <c r="C6" s="6" t="n">
        <v>4</v>
      </c>
      <c r="D6" s="8" t="inlineStr">
        <is>
          <t>多卡矿机</t>
        </is>
      </c>
      <c r="E6" s="8" t="inlineStr">
        <is>
          <t>Multi-GPU Rig</t>
        </is>
      </c>
      <c r="F6" s="8" t="inlineStr">
        <is>
          <t>Rig multi-GPU</t>
        </is>
      </c>
      <c r="G6" s="7" t="n">
        <v>700</v>
      </c>
      <c r="H6" s="8" t="inlineStr">
        <is>
          <t>算力 ×2</t>
        </is>
      </c>
      <c r="I6" s="8" t="inlineStr">
        <is>
          <t>Hash ×2</t>
        </is>
      </c>
      <c r="J6" s="8" t="inlineStr">
        <is>
          <t>Puissance ×2</t>
        </is>
      </c>
      <c r="K6" s="7" t="inlineStr">
        <is>
          <t>hash*=2</t>
        </is>
      </c>
      <c r="L6" s="9">
        <f>SUMIFS($G$3:$G$107,$A$3:$A$107,A6,$B$3:$B$107,B6,$C$3:$C$107,"&lt;="&amp;C6)</f>
        <v/>
      </c>
    </row>
    <row r="7">
      <c r="A7" s="6" t="inlineStr">
        <is>
          <t>miner</t>
        </is>
      </c>
      <c r="B7" s="6" t="n">
        <v>1</v>
      </c>
      <c r="C7" s="6" t="n">
        <v>5</v>
      </c>
      <c r="D7" s="8" t="inlineStr">
        <is>
          <t>显卡农场</t>
        </is>
      </c>
      <c r="E7" s="8" t="inlineStr">
        <is>
          <t>GPU Farm</t>
        </is>
      </c>
      <c r="F7" s="8" t="inlineStr">
        <is>
          <t>Ferme GPU</t>
        </is>
      </c>
      <c r="G7" s="7" t="n">
        <v>1500</v>
      </c>
      <c r="H7" s="8" t="inlineStr">
        <is>
          <t>算力 ×2.5</t>
        </is>
      </c>
      <c r="I7" s="8" t="inlineStr">
        <is>
          <t>Hash ×2.5</t>
        </is>
      </c>
      <c r="J7" s="8" t="inlineStr">
        <is>
          <t>Puissance ×2,5</t>
        </is>
      </c>
      <c r="K7" s="7" t="inlineStr">
        <is>
          <t>hash*=2.5</t>
        </is>
      </c>
      <c r="L7" s="9">
        <f>SUMIFS($G$3:$G$107,$A$3:$A$107,A7,$B$3:$B$107,B7,$C$3:$C$107,"&lt;="&amp;C7)</f>
        <v/>
      </c>
    </row>
    <row r="8">
      <c r="A8" s="6" t="inlineStr">
        <is>
          <t>miner</t>
        </is>
      </c>
      <c r="B8" s="6" t="n">
        <v>2</v>
      </c>
      <c r="C8" s="6" t="n">
        <v>1</v>
      </c>
      <c r="D8" s="8" t="inlineStr">
        <is>
          <t>加入矿池</t>
        </is>
      </c>
      <c r="E8" s="8" t="inlineStr">
        <is>
          <t>Join a Pool</t>
        </is>
      </c>
      <c r="F8" s="8" t="inlineStr">
        <is>
          <t>Rejoindre un pool</t>
        </is>
      </c>
      <c r="G8" s="7" t="n">
        <v>70</v>
      </c>
      <c r="H8" s="8" t="inlineStr">
        <is>
          <t>出块奖励 +25%</t>
        </is>
      </c>
      <c r="I8" s="8" t="inlineStr">
        <is>
          <t>Block reward +25%</t>
        </is>
      </c>
      <c r="J8" s="8" t="inlineStr">
        <is>
          <t>Récompense de bloc +25 %</t>
        </is>
      </c>
      <c r="K8" s="7" t="inlineStr">
        <is>
          <t>blockBonus+=0.25</t>
        </is>
      </c>
      <c r="L8" s="9">
        <f>SUMIFS($G$3:$G$107,$A$3:$A$107,A8,$B$3:$B$107,B8,$C$3:$C$107,"&lt;="&amp;C8)</f>
        <v/>
      </c>
    </row>
    <row r="9">
      <c r="A9" s="6" t="inlineStr">
        <is>
          <t>miner</t>
        </is>
      </c>
      <c r="B9" s="6" t="n">
        <v>2</v>
      </c>
      <c r="C9" s="6" t="n">
        <v>2</v>
      </c>
      <c r="D9" s="8" t="inlineStr">
        <is>
          <t>矿池分成</t>
        </is>
      </c>
      <c r="E9" s="8" t="inlineStr">
        <is>
          <t>Pool Payout</t>
        </is>
      </c>
      <c r="F9" s="8" t="inlineStr">
        <is>
          <t>Partage du pool</t>
        </is>
      </c>
      <c r="G9" s="7" t="n">
        <v>140</v>
      </c>
      <c r="H9" s="8" t="inlineStr">
        <is>
          <t>射程内其他装置效果 +15%</t>
        </is>
      </c>
      <c r="I9" s="8" t="inlineStr">
        <is>
          <t>Other devices in range: effect +15%</t>
        </is>
      </c>
      <c r="J9" s="8" t="inlineStr">
        <is>
          <t>Autres dispositifs à portée : effet +15 %</t>
        </is>
      </c>
      <c r="K9" s="7" t="inlineStr">
        <is>
          <t>auraDmg=1.15</t>
        </is>
      </c>
      <c r="L9" s="9">
        <f>SUMIFS($G$3:$G$107,$A$3:$A$107,A9,$B$3:$B$107,B9,$C$3:$C$107,"&lt;="&amp;C9)</f>
        <v/>
      </c>
    </row>
    <row r="10">
      <c r="A10" s="6" t="inlineStr">
        <is>
          <t>miner</t>
        </is>
      </c>
      <c r="B10" s="6" t="n">
        <v>2</v>
      </c>
      <c r="C10" s="6" t="n">
        <v>3</v>
      </c>
      <c r="D10" s="8" t="inlineStr">
        <is>
          <t>稳定收益</t>
        </is>
      </c>
      <c r="E10" s="8" t="inlineStr">
        <is>
          <t>Steady Income</t>
        </is>
      </c>
      <c r="F10" s="8" t="inlineStr">
        <is>
          <t>Revenu stable</t>
        </is>
      </c>
      <c r="G10" s="7" t="n">
        <v>320</v>
      </c>
      <c r="H10" s="8" t="inlineStr">
        <is>
          <t>出块奖励再 +50%</t>
        </is>
      </c>
      <c r="I10" s="8" t="inlineStr">
        <is>
          <t>Block reward +50% more</t>
        </is>
      </c>
      <c r="J10" s="8" t="inlineStr">
        <is>
          <t>Récompense de bloc encore +50 %</t>
        </is>
      </c>
      <c r="K10" s="7" t="inlineStr">
        <is>
          <t>blockBonus+=0.5</t>
        </is>
      </c>
      <c r="L10" s="9">
        <f>SUMIFS($G$3:$G$107,$A$3:$A$107,A10,$B$3:$B$107,B10,$C$3:$C$107,"&lt;="&amp;C10)</f>
        <v/>
      </c>
    </row>
    <row r="11">
      <c r="A11" s="6" t="inlineStr">
        <is>
          <t>miner</t>
        </is>
      </c>
      <c r="B11" s="6" t="n">
        <v>2</v>
      </c>
      <c r="C11" s="6" t="n">
        <v>4</v>
      </c>
      <c r="D11" s="8" t="inlineStr">
        <is>
          <t>大矿池</t>
        </is>
      </c>
      <c r="E11" s="8" t="inlineStr">
        <is>
          <t>Big Pool</t>
        </is>
      </c>
      <c r="F11" s="8" t="inlineStr">
        <is>
          <t>Gros pool</t>
        </is>
      </c>
      <c r="G11" s="7" t="n">
        <v>700</v>
      </c>
      <c r="H11" s="8" t="inlineStr">
        <is>
          <t>射程内其他装置效果 +30%，射程 +30</t>
        </is>
      </c>
      <c r="I11" s="8" t="inlineStr">
        <is>
          <t>Other devices in range: effect +30%; range +30</t>
        </is>
      </c>
      <c r="J11" s="8" t="inlineStr">
        <is>
          <t>Autres dispositifs à portée : effet +30 % ; portée +30</t>
        </is>
      </c>
      <c r="K11" s="7" t="inlineStr">
        <is>
          <t>auraDmg=1.3; range+=30</t>
        </is>
      </c>
      <c r="L11" s="9">
        <f>SUMIFS($G$3:$G$107,$A$3:$A$107,A11,$B$3:$B$107,B11,$C$3:$C$107,"&lt;="&amp;C11)</f>
        <v/>
      </c>
    </row>
    <row r="12">
      <c r="A12" s="6" t="inlineStr">
        <is>
          <t>miner</t>
        </is>
      </c>
      <c r="B12" s="6" t="n">
        <v>2</v>
      </c>
      <c r="C12" s="6" t="n">
        <v>5</v>
      </c>
      <c r="D12" s="8" t="inlineStr">
        <is>
          <t>算力联盟</t>
        </is>
      </c>
      <c r="E12" s="8" t="inlineStr">
        <is>
          <t>Hash Alliance</t>
        </is>
      </c>
      <c r="F12" s="8" t="inlineStr">
        <is>
          <t>Alliance de puissance</t>
        </is>
      </c>
      <c r="G12" s="7" t="n">
        <v>1500</v>
      </c>
      <c r="H12" s="8" t="inlineStr">
        <is>
          <t>出块奖励再 +100%，射程内装置出手间隔 −15%</t>
        </is>
      </c>
      <c r="I12" s="8" t="inlineStr">
        <is>
          <t>Block reward +100% more; devices in range: interval −15%</t>
        </is>
      </c>
      <c r="J12" s="8" t="inlineStr">
        <is>
          <t>Récompense encore +100 % ; dispositifs à portée : intervalle −15 %</t>
        </is>
      </c>
      <c r="K12" s="7" t="inlineStr">
        <is>
          <t>blockBonus+=1; auraRate=0.85</t>
        </is>
      </c>
      <c r="L12" s="9">
        <f>SUMIFS($G$3:$G$107,$A$3:$A$107,A12,$B$3:$B$107,B12,$C$3:$C$107,"&lt;="&amp;C12)</f>
        <v/>
      </c>
    </row>
    <row r="13">
      <c r="A13" s="6" t="inlineStr">
        <is>
          <t>miner</t>
        </is>
      </c>
      <c r="B13" s="6" t="n">
        <v>3</v>
      </c>
      <c r="C13" s="6" t="n">
        <v>1</v>
      </c>
      <c r="D13" s="8" t="inlineStr">
        <is>
          <t>风扇狂转</t>
        </is>
      </c>
      <c r="E13" s="8" t="inlineStr">
        <is>
          <t>Fans Roaring</t>
        </is>
      </c>
      <c r="F13" s="8" t="inlineStr">
        <is>
          <t>Ventilos à fond</t>
        </is>
      </c>
      <c r="G13" s="7" t="n">
        <v>60</v>
      </c>
      <c r="H13" s="8" t="inlineStr">
        <is>
          <t>吹出热风：射程内跑者每秒受 1 点效果并挂上“热”</t>
        </is>
      </c>
      <c r="I13" s="8" t="inlineStr">
        <is>
          <t>Blows hot air: runners in range take 1 effect per second and get “Heat”</t>
        </is>
      </c>
      <c r="J13" s="8" t="inlineStr">
        <is>
          <t>Souffle de l’air chaud : coureurs à portée subissent 1 effet par seconde et reçoivent « Chaleur »</t>
        </is>
      </c>
      <c r="K13" s="7" t="inlineStr">
        <is>
          <t>heat+=1</t>
        </is>
      </c>
      <c r="L13" s="9">
        <f>SUMIFS($G$3:$G$107,$A$3:$A$107,A13,$B$3:$B$107,B13,$C$3:$C$107,"&lt;="&amp;C13)</f>
        <v/>
      </c>
    </row>
    <row r="14">
      <c r="A14" s="6" t="inlineStr">
        <is>
          <t>miner</t>
        </is>
      </c>
      <c r="B14" s="6" t="n">
        <v>3</v>
      </c>
      <c r="C14" s="6" t="n">
        <v>2</v>
      </c>
      <c r="D14" s="8" t="inlineStr">
        <is>
          <t>机箱漏风</t>
        </is>
      </c>
      <c r="E14" s="8" t="inlineStr">
        <is>
          <t>Leaky Case</t>
        </is>
      </c>
      <c r="F14" s="8" t="inlineStr">
        <is>
          <t>Boîtier qui fuit</t>
        </is>
      </c>
      <c r="G14" s="7" t="n">
        <v>120</v>
      </c>
      <c r="H14" s="8" t="inlineStr">
        <is>
          <t>热风 +2</t>
        </is>
      </c>
      <c r="I14" s="8" t="inlineStr">
        <is>
          <t>Heat +2</t>
        </is>
      </c>
      <c r="J14" s="8" t="inlineStr">
        <is>
          <t>Chaleur +2</t>
        </is>
      </c>
      <c r="K14" s="7" t="inlineStr">
        <is>
          <t>heat+=2</t>
        </is>
      </c>
      <c r="L14" s="9">
        <f>SUMIFS($G$3:$G$107,$A$3:$A$107,A14,$B$3:$B$107,B14,$C$3:$C$107,"&lt;="&amp;C14)</f>
        <v/>
      </c>
    </row>
    <row r="15">
      <c r="A15" s="6" t="inlineStr">
        <is>
          <t>miner</t>
        </is>
      </c>
      <c r="B15" s="6" t="n">
        <v>3</v>
      </c>
      <c r="C15" s="6" t="n">
        <v>3</v>
      </c>
      <c r="D15" s="8" t="inlineStr">
        <is>
          <t>水冷管道</t>
        </is>
      </c>
      <c r="E15" s="8" t="inlineStr">
        <is>
          <t>Water-cooling Loop</t>
        </is>
      </c>
      <c r="F15" s="8" t="inlineStr">
        <is>
          <t>Watercooling</t>
        </is>
      </c>
      <c r="G15" s="7" t="n">
        <v>300</v>
      </c>
      <c r="H15" s="8" t="inlineStr">
        <is>
          <t>射程 +25</t>
        </is>
      </c>
      <c r="I15" s="8" t="inlineStr">
        <is>
          <t>Range +25</t>
        </is>
      </c>
      <c r="J15" s="8" t="inlineStr">
        <is>
          <t>Portée +25</t>
        </is>
      </c>
      <c r="K15" s="7" t="inlineStr">
        <is>
          <t>range+=25</t>
        </is>
      </c>
      <c r="L15" s="9">
        <f>SUMIFS($G$3:$G$107,$A$3:$A$107,A15,$B$3:$B$107,B15,$C$3:$C$107,"&lt;="&amp;C15)</f>
        <v/>
      </c>
    </row>
    <row r="16">
      <c r="A16" s="6" t="inlineStr">
        <is>
          <t>miner</t>
        </is>
      </c>
      <c r="B16" s="6" t="n">
        <v>3</v>
      </c>
      <c r="C16" s="6" t="n">
        <v>4</v>
      </c>
      <c r="D16" s="8" t="inlineStr">
        <is>
          <t>烧机模式</t>
        </is>
      </c>
      <c r="E16" s="8" t="inlineStr">
        <is>
          <t>Burn-in Mode</t>
        </is>
      </c>
      <c r="F16" s="8" t="inlineStr">
        <is>
          <t>Mode surchauffe</t>
        </is>
      </c>
      <c r="G16" s="7" t="n">
        <v>700</v>
      </c>
      <c r="H16" s="8" t="inlineStr">
        <is>
          <t>热风 ×3</t>
        </is>
      </c>
      <c r="I16" s="8" t="inlineStr">
        <is>
          <t>Heat ×3</t>
        </is>
      </c>
      <c r="J16" s="8" t="inlineStr">
        <is>
          <t>Chaleur ×3</t>
        </is>
      </c>
      <c r="K16" s="7" t="inlineStr">
        <is>
          <t>heat*=3</t>
        </is>
      </c>
      <c r="L16" s="9">
        <f>SUMIFS($G$3:$G$107,$A$3:$A$107,A16,$B$3:$B$107,B16,$C$3:$C$107,"&lt;="&amp;C16)</f>
        <v/>
      </c>
    </row>
    <row r="17">
      <c r="A17" s="6" t="inlineStr">
        <is>
          <t>miner</t>
        </is>
      </c>
      <c r="B17" s="6" t="n">
        <v>3</v>
      </c>
      <c r="C17" s="6" t="n">
        <v>5</v>
      </c>
      <c r="D17" s="8" t="inlineStr">
        <is>
          <t>矿场火炉</t>
        </is>
      </c>
      <c r="E17" s="8" t="inlineStr">
        <is>
          <t>Mine Furnace</t>
        </is>
      </c>
      <c r="F17" s="8" t="inlineStr">
        <is>
          <t>Fournaise de mine</t>
        </is>
      </c>
      <c r="G17" s="7" t="n">
        <v>1500</v>
      </c>
      <c r="H17" s="8" t="inlineStr">
        <is>
          <t>热风 +15，射程 +30</t>
        </is>
      </c>
      <c r="I17" s="8" t="inlineStr">
        <is>
          <t>Heat +15; range +30</t>
        </is>
      </c>
      <c r="J17" s="8" t="inlineStr">
        <is>
          <t>Chaleur +15 ; portée +30</t>
        </is>
      </c>
      <c r="K17" s="7" t="inlineStr">
        <is>
          <t>heat+=15; range+=30</t>
        </is>
      </c>
      <c r="L17" s="9">
        <f>SUMIFS($G$3:$G$107,$A$3:$A$107,A17,$B$3:$B$107,B17,$C$3:$C$107,"&lt;="&amp;C17)</f>
        <v/>
      </c>
    </row>
    <row r="18">
      <c r="A18" s="6" t="inlineStr">
        <is>
          <t>gem</t>
        </is>
      </c>
      <c r="B18" s="6" t="n">
        <v>1</v>
      </c>
      <c r="C18" s="6" t="n">
        <v>1</v>
      </c>
      <c r="D18" s="8" t="inlineStr">
        <is>
          <t>打磨红宝石</t>
        </is>
      </c>
      <c r="E18" s="8" t="inlineStr">
        <is>
          <t>Polished Ruby</t>
        </is>
      </c>
      <c r="F18" s="8" t="inlineStr">
        <is>
          <t>Rubis poli</t>
        </is>
      </c>
      <c r="G18" s="7" t="n">
        <v>80</v>
      </c>
      <c r="H18" s="8" t="inlineStr">
        <is>
          <t>效果 +1</t>
        </is>
      </c>
      <c r="I18" s="8" t="inlineStr">
        <is>
          <t>Effect +1</t>
        </is>
      </c>
      <c r="J18" s="8" t="inlineStr">
        <is>
          <t>Effet +1</t>
        </is>
      </c>
      <c r="K18" s="7" t="inlineStr">
        <is>
          <t>dmg+=1</t>
        </is>
      </c>
      <c r="L18" s="9">
        <f>SUMIFS($G$3:$G$107,$A$3:$A$107,A18,$B$3:$B$107,B18,$C$3:$C$107,"&lt;="&amp;C18)</f>
        <v/>
      </c>
    </row>
    <row r="19">
      <c r="A19" s="6" t="inlineStr">
        <is>
          <t>gem</t>
        </is>
      </c>
      <c r="B19" s="6" t="n">
        <v>1</v>
      </c>
      <c r="C19" s="6" t="n">
        <v>2</v>
      </c>
      <c r="D19" s="8" t="inlineStr">
        <is>
          <t>鸽血红</t>
        </is>
      </c>
      <c r="E19" s="8" t="inlineStr">
        <is>
          <t>Pigeon Blood</t>
        </is>
      </c>
      <c r="F19" s="8" t="inlineStr">
        <is>
          <t>Sang de pigeon</t>
        </is>
      </c>
      <c r="G19" s="7" t="n">
        <v>90</v>
      </c>
      <c r="H19" s="8" t="inlineStr">
        <is>
          <t>暴击率 +20%</t>
        </is>
      </c>
      <c r="I19" s="8" t="inlineStr">
        <is>
          <t>Crit chance +20%</t>
        </is>
      </c>
      <c r="J19" s="8" t="inlineStr">
        <is>
          <t>Critique +20 %</t>
        </is>
      </c>
      <c r="K19" s="7" t="inlineStr">
        <is>
          <t>crit+=0.2</t>
        </is>
      </c>
      <c r="L19" s="9">
        <f>SUMIFS($G$3:$G$107,$A$3:$A$107,A19,$B$3:$B$107,B19,$C$3:$C$107,"&lt;="&amp;C19)</f>
        <v/>
      </c>
    </row>
    <row r="20">
      <c r="A20" s="6" t="inlineStr">
        <is>
          <t>gem</t>
        </is>
      </c>
      <c r="B20" s="6" t="n">
        <v>1</v>
      </c>
      <c r="C20" s="6" t="n">
        <v>3</v>
      </c>
      <c r="D20" s="8" t="inlineStr">
        <is>
          <t>红宝石切面</t>
        </is>
      </c>
      <c r="E20" s="8" t="inlineStr">
        <is>
          <t>Ruby Facets</t>
        </is>
      </c>
      <c r="F20" s="8" t="inlineStr">
        <is>
          <t>Facettes de rubis</t>
        </is>
      </c>
      <c r="G20" s="7" t="n">
        <v>200</v>
      </c>
      <c r="H20" s="8" t="inlineStr">
        <is>
          <t>暴击 ×3，对耐力跑者全额生效</t>
        </is>
      </c>
      <c r="I20" s="8" t="inlineStr">
        <is>
          <t>Crits ×3, full effect on endurance runners</t>
        </is>
      </c>
      <c r="J20" s="8" t="inlineStr">
        <is>
          <t>Critiques ×3, effet total sur les coureurs endurants</t>
        </is>
      </c>
      <c r="K20" s="7" t="inlineStr">
        <is>
          <t>critMul=3; armor=1</t>
        </is>
      </c>
      <c r="L20" s="9">
        <f>SUMIFS($G$3:$G$107,$A$3:$A$107,A20,$B$3:$B$107,B20,$C$3:$C$107,"&lt;="&amp;C20)</f>
        <v/>
      </c>
    </row>
    <row r="21">
      <c r="A21" s="6" t="inlineStr">
        <is>
          <t>gem</t>
        </is>
      </c>
      <c r="B21" s="6" t="n">
        <v>1</v>
      </c>
      <c r="C21" s="6" t="n">
        <v>4</v>
      </c>
      <c r="D21" s="8" t="inlineStr">
        <is>
          <t>炽红核心</t>
        </is>
      </c>
      <c r="E21" s="8" t="inlineStr">
        <is>
          <t>Blazing Core</t>
        </is>
      </c>
      <c r="F21" s="8" t="inlineStr">
        <is>
          <t>Cœur ardent</t>
        </is>
      </c>
      <c r="G21" s="7" t="n">
        <v>450</v>
      </c>
      <c r="H21" s="8" t="inlineStr">
        <is>
          <t>效果 ×2，对 Boss 再 ×1.5</t>
        </is>
      </c>
      <c r="I21" s="8" t="inlineStr">
        <is>
          <t>Effect ×2, ×1.5 more vs bosses</t>
        </is>
      </c>
      <c r="J21" s="8" t="inlineStr">
        <is>
          <t>Effet ×2, encore ×1,5 contre les boss</t>
        </is>
      </c>
      <c r="K21" s="7" t="inlineStr">
        <is>
          <t>dmg*=2; bossMul*=1.5</t>
        </is>
      </c>
      <c r="L21" s="9">
        <f>SUMIFS($G$3:$G$107,$A$3:$A$107,A21,$B$3:$B$107,B21,$C$3:$C$107,"&lt;="&amp;C21)</f>
        <v/>
      </c>
    </row>
    <row r="22">
      <c r="A22" s="6" t="inlineStr">
        <is>
          <t>gem</t>
        </is>
      </c>
      <c r="B22" s="6" t="n">
        <v>1</v>
      </c>
      <c r="C22" s="6" t="n">
        <v>5</v>
      </c>
      <c r="D22" s="8" t="inlineStr">
        <is>
          <t>红宝石之心</t>
        </is>
      </c>
      <c r="E22" s="8" t="inlineStr">
        <is>
          <t>Heart of Ruby</t>
        </is>
      </c>
      <c r="F22" s="8" t="inlineStr">
        <is>
          <t>Cœur de rubis</t>
        </is>
      </c>
      <c r="G22" s="7" t="n">
        <v>1700</v>
      </c>
      <c r="H22" s="8" t="inlineStr">
        <is>
          <t>效果 +12，暴击率再 +20%</t>
        </is>
      </c>
      <c r="I22" s="8" t="inlineStr">
        <is>
          <t>Effect +12, crit chance +20% more</t>
        </is>
      </c>
      <c r="J22" s="8" t="inlineStr">
        <is>
          <t>Effet +12, critique encore +20 %</t>
        </is>
      </c>
      <c r="K22" s="7" t="inlineStr">
        <is>
          <t>dmg+=12; crit+=0.2</t>
        </is>
      </c>
      <c r="L22" s="9">
        <f>SUMIFS($G$3:$G$107,$A$3:$A$107,A22,$B$3:$B$107,B22,$C$3:$C$107,"&lt;="&amp;C22)</f>
        <v/>
      </c>
    </row>
    <row r="23">
      <c r="A23" s="6" t="inlineStr">
        <is>
          <t>gem</t>
        </is>
      </c>
      <c r="B23" s="6" t="n">
        <v>2</v>
      </c>
      <c r="C23" s="6" t="n">
        <v>1</v>
      </c>
      <c r="D23" s="8" t="inlineStr">
        <is>
          <t>黄晶碎片</t>
        </is>
      </c>
      <c r="E23" s="8" t="inlineStr">
        <is>
          <t>Topaz Shard</t>
        </is>
      </c>
      <c r="F23" s="8" t="inlineStr">
        <is>
          <t>Éclat de topaze</t>
        </is>
      </c>
      <c r="G23" s="7" t="n">
        <v>50</v>
      </c>
      <c r="H23" s="8" t="inlineStr">
        <is>
          <t>出手间隔 −20%</t>
        </is>
      </c>
      <c r="I23" s="8" t="inlineStr">
        <is>
          <t>Interval −20%</t>
        </is>
      </c>
      <c r="J23" s="8" t="inlineStr">
        <is>
          <t>Intervalle −20 %</t>
        </is>
      </c>
      <c r="K23" s="7" t="inlineStr">
        <is>
          <t>rate*=0.8</t>
        </is>
      </c>
      <c r="L23" s="9">
        <f>SUMIFS($G$3:$G$107,$A$3:$A$107,A23,$B$3:$B$107,B23,$C$3:$C$107,"&lt;="&amp;C23)</f>
        <v/>
      </c>
    </row>
    <row r="24">
      <c r="A24" s="6" t="inlineStr">
        <is>
          <t>gem</t>
        </is>
      </c>
      <c r="B24" s="6" t="n">
        <v>2</v>
      </c>
      <c r="C24" s="6" t="n">
        <v>2</v>
      </c>
      <c r="D24" s="8" t="inlineStr">
        <is>
          <t>双生黄晶</t>
        </is>
      </c>
      <c r="E24" s="8" t="inlineStr">
        <is>
          <t>Twin Topaz</t>
        </is>
      </c>
      <c r="F24" s="8" t="inlineStr">
        <is>
          <t>Topaze jumelle</t>
        </is>
      </c>
      <c r="G24" s="7" t="n">
        <v>130</v>
      </c>
      <c r="H24" s="8" t="inlineStr">
        <is>
          <t>每次多打 1 名跑者</t>
        </is>
      </c>
      <c r="I24" s="8" t="inlineStr">
        <is>
          <t>Hits 1 more runner per shot</t>
        </is>
      </c>
      <c r="J24" s="8" t="inlineStr">
        <is>
          <t>Touche 1 coureur de plus par tir</t>
        </is>
      </c>
      <c r="K24" s="7" t="inlineStr">
        <is>
          <t>multi+=1</t>
        </is>
      </c>
      <c r="L24" s="9">
        <f>SUMIFS($G$3:$G$107,$A$3:$A$107,A24,$B$3:$B$107,B24,$C$3:$C$107,"&lt;="&amp;C24)</f>
        <v/>
      </c>
    </row>
    <row r="25">
      <c r="A25" s="6" t="inlineStr">
        <is>
          <t>gem</t>
        </is>
      </c>
      <c r="B25" s="6" t="n">
        <v>2</v>
      </c>
      <c r="C25" s="6" t="n">
        <v>3</v>
      </c>
      <c r="D25" s="8" t="inlineStr">
        <is>
          <t>黄晶矿脉</t>
        </is>
      </c>
      <c r="E25" s="8" t="inlineStr">
        <is>
          <t>Topaz Vein</t>
        </is>
      </c>
      <c r="F25" s="8" t="inlineStr">
        <is>
          <t>Filon de topaze</t>
        </is>
      </c>
      <c r="G25" s="7" t="n">
        <v>300</v>
      </c>
      <c r="H25" s="8" t="inlineStr">
        <is>
          <t>每波结束额外 +40 GST</t>
        </is>
      </c>
      <c r="I25" s="8" t="inlineStr">
        <is>
          <t>+40 GST at the end of each wave</t>
        </is>
      </c>
      <c r="J25" s="8" t="inlineStr">
        <is>
          <t>+40 GST à la fin de chaque vague</t>
        </is>
      </c>
      <c r="K25" s="7" t="inlineStr">
        <is>
          <t>gpw+=40</t>
        </is>
      </c>
      <c r="L25" s="9">
        <f>SUMIFS($G$3:$G$107,$A$3:$A$107,A25,$B$3:$B$107,B25,$C$3:$C$107,"&lt;="&amp;C25)</f>
        <v/>
      </c>
    </row>
    <row r="26">
      <c r="A26" s="6" t="inlineStr">
        <is>
          <t>gem</t>
        </is>
      </c>
      <c r="B26" s="6" t="n">
        <v>2</v>
      </c>
      <c r="C26" s="6" t="n">
        <v>4</v>
      </c>
      <c r="D26" s="8" t="inlineStr">
        <is>
          <t>黄晶棱镜</t>
        </is>
      </c>
      <c r="E26" s="8" t="inlineStr">
        <is>
          <t>Topaz Prism</t>
        </is>
      </c>
      <c r="F26" s="8" t="inlineStr">
        <is>
          <t>Prisme de topaze</t>
        </is>
      </c>
      <c r="G26" s="7" t="n">
        <v>560</v>
      </c>
      <c r="H26" s="8" t="inlineStr">
        <is>
          <t>再多打 2 名跑者，出手间隔 −25%</t>
        </is>
      </c>
      <c r="I26" s="8" t="inlineStr">
        <is>
          <t>Hits 2 more runners, interval −25%</t>
        </is>
      </c>
      <c r="J26" s="8" t="inlineStr">
        <is>
          <t>Touche 2 coureurs de plus, intervalle −25 %</t>
        </is>
      </c>
      <c r="K26" s="7" t="inlineStr">
        <is>
          <t>multi+=2; rate*=0.75</t>
        </is>
      </c>
      <c r="L26" s="9">
        <f>SUMIFS($G$3:$G$107,$A$3:$A$107,A26,$B$3:$B$107,B26,$C$3:$C$107,"&lt;="&amp;C26)</f>
        <v/>
      </c>
    </row>
    <row r="27">
      <c r="A27" s="6" t="inlineStr">
        <is>
          <t>gem</t>
        </is>
      </c>
      <c r="B27" s="6" t="n">
        <v>2</v>
      </c>
      <c r="C27" s="6" t="n">
        <v>5</v>
      </c>
      <c r="D27" s="8" t="inlineStr">
        <is>
          <t>GST 金矿</t>
        </is>
      </c>
      <c r="E27" s="8" t="inlineStr">
        <is>
          <t>GST Gold Mine</t>
        </is>
      </c>
      <c r="F27" s="8" t="inlineStr">
        <is>
          <t>Mine d’or GST</t>
        </is>
      </c>
      <c r="G27" s="7" t="n">
        <v>1600</v>
      </c>
      <c r="H27" s="8" t="inlineStr">
        <is>
          <t>每波结束再 +120 GST，出手间隔减半</t>
        </is>
      </c>
      <c r="I27" s="8" t="inlineStr">
        <is>
          <t>+120 GST more per wave, interval halved</t>
        </is>
      </c>
      <c r="J27" s="8" t="inlineStr">
        <is>
          <t>+120 GST de plus par vague, intervalle divisé par deux</t>
        </is>
      </c>
      <c r="K27" s="7" t="inlineStr">
        <is>
          <t>gpw+=120; rate*=0.5</t>
        </is>
      </c>
      <c r="L27" s="9">
        <f>SUMIFS($G$3:$G$107,$A$3:$A$107,A27,$B$3:$B$107,B27,$C$3:$C$107,"&lt;="&amp;C27)</f>
        <v/>
      </c>
    </row>
    <row r="28">
      <c r="A28" s="6" t="inlineStr">
        <is>
          <t>gem</t>
        </is>
      </c>
      <c r="B28" s="6" t="n">
        <v>3</v>
      </c>
      <c r="C28" s="6" t="n">
        <v>1</v>
      </c>
      <c r="D28" s="8" t="inlineStr">
        <is>
          <t>冰蓝切片</t>
        </is>
      </c>
      <c r="E28" s="8" t="inlineStr">
        <is>
          <t>Ice-Blue Slice</t>
        </is>
      </c>
      <c r="F28" s="8" t="inlineStr">
        <is>
          <t>Tranche bleu glace</t>
        </is>
      </c>
      <c r="G28" s="7" t="n">
        <v>60</v>
      </c>
      <c r="H28" s="8" t="inlineStr">
        <is>
          <t>命中减速 25%，持续 1.5 秒</t>
        </is>
      </c>
      <c r="I28" s="8" t="inlineStr">
        <is>
          <t>Hits slow by 25% for 1.5 s</t>
        </is>
      </c>
      <c r="J28" s="8" t="inlineStr">
        <is>
          <t>Ralentit de 25 % pendant 1,5 s</t>
        </is>
      </c>
      <c r="K28" s="7" t="inlineStr">
        <is>
          <t>slow=0.25; slowDur=1.5</t>
        </is>
      </c>
      <c r="L28" s="9">
        <f>SUMIFS($G$3:$G$107,$A$3:$A$107,A28,$B$3:$B$107,B28,$C$3:$C$107,"&lt;="&amp;C28)</f>
        <v/>
      </c>
    </row>
    <row r="29">
      <c r="A29" s="6" t="inlineStr">
        <is>
          <t>gem</t>
        </is>
      </c>
      <c r="B29" s="6" t="n">
        <v>3</v>
      </c>
      <c r="C29" s="6" t="n">
        <v>2</v>
      </c>
      <c r="D29" s="8" t="inlineStr">
        <is>
          <t>深海蓝</t>
        </is>
      </c>
      <c r="E29" s="8" t="inlineStr">
        <is>
          <t>Deep-Sea Blue</t>
        </is>
      </c>
      <c r="F29" s="8" t="inlineStr">
        <is>
          <t>Bleu abyssal</t>
        </is>
      </c>
      <c r="G29" s="7" t="n">
        <v>120</v>
      </c>
      <c r="H29" s="8" t="inlineStr">
        <is>
          <t>射程 +25</t>
        </is>
      </c>
      <c r="I29" s="8" t="inlineStr">
        <is>
          <t>Range +25</t>
        </is>
      </c>
      <c r="J29" s="8" t="inlineStr">
        <is>
          <t>Portée +25</t>
        </is>
      </c>
      <c r="K29" s="7" t="inlineStr">
        <is>
          <t>range+=25</t>
        </is>
      </c>
      <c r="L29" s="9">
        <f>SUMIFS($G$3:$G$107,$A$3:$A$107,A29,$B$3:$B$107,B29,$C$3:$C$107,"&lt;="&amp;C29)</f>
        <v/>
      </c>
    </row>
    <row r="30">
      <c r="A30" s="6" t="inlineStr">
        <is>
          <t>gem</t>
        </is>
      </c>
      <c r="B30" s="6" t="n">
        <v>3</v>
      </c>
      <c r="C30" s="6" t="n">
        <v>3</v>
      </c>
      <c r="D30" s="8" t="inlineStr">
        <is>
          <t>蓝宝石冰封</t>
        </is>
      </c>
      <c r="E30" s="8" t="inlineStr">
        <is>
          <t>Sapphire Freeze</t>
        </is>
      </c>
      <c r="F30" s="8" t="inlineStr">
        <is>
          <t>Gel de saphir</t>
        </is>
      </c>
      <c r="G30" s="7" t="n">
        <v>300</v>
      </c>
      <c r="H30" s="8" t="inlineStr">
        <is>
          <t>命中时冻住非 Boss 跑者 0.6 秒</t>
        </is>
      </c>
      <c r="I30" s="8" t="inlineStr">
        <is>
          <t>Hits freeze non-boss runners for 0.6 s</t>
        </is>
      </c>
      <c r="J30" s="8" t="inlineStr">
        <is>
          <t>Gèle les coureurs (hors boss) 0,6 s</t>
        </is>
      </c>
      <c r="K30" s="7" t="inlineStr">
        <is>
          <t>freeze=0.6</t>
        </is>
      </c>
      <c r="L30" s="9">
        <f>SUMIFS($G$3:$G$107,$A$3:$A$107,A30,$B$3:$B$107,B30,$C$3:$C$107,"&lt;="&amp;C30)</f>
        <v/>
      </c>
    </row>
    <row r="31">
      <c r="A31" s="6" t="inlineStr">
        <is>
          <t>gem</t>
        </is>
      </c>
      <c r="B31" s="6" t="n">
        <v>3</v>
      </c>
      <c r="C31" s="6" t="n">
        <v>4</v>
      </c>
      <c r="D31" s="8" t="inlineStr">
        <is>
          <t>寒光</t>
        </is>
      </c>
      <c r="E31" s="8" t="inlineStr">
        <is>
          <t>Cold Gleam</t>
        </is>
      </c>
      <c r="F31" s="8" t="inlineStr">
        <is>
          <t>Éclat glacé</t>
        </is>
      </c>
      <c r="G31" s="7" t="n">
        <v>680</v>
      </c>
      <c r="H31" s="8" t="inlineStr">
        <is>
          <t>被减速的跑者受到所有效果 +30%</t>
        </is>
      </c>
      <c r="I31" s="8" t="inlineStr">
        <is>
          <t>Slowed runners take +30% from everything</t>
        </is>
      </c>
      <c r="J31" s="8" t="inlineStr">
        <is>
          <t>Les coureurs ralentis subissent +30 % de tout</t>
        </is>
      </c>
      <c r="K31" s="7" t="inlineStr">
        <is>
          <t>vulnSlow=0.3</t>
        </is>
      </c>
      <c r="L31" s="9">
        <f>SUMIFS($G$3:$G$107,$A$3:$A$107,A31,$B$3:$B$107,B31,$C$3:$C$107,"&lt;="&amp;C31)</f>
        <v/>
      </c>
    </row>
    <row r="32">
      <c r="A32" s="6" t="inlineStr">
        <is>
          <t>gem</t>
        </is>
      </c>
      <c r="B32" s="6" t="n">
        <v>3</v>
      </c>
      <c r="C32" s="6" t="n">
        <v>5</v>
      </c>
      <c r="D32" s="8" t="inlineStr">
        <is>
          <t>星海蓝钻</t>
        </is>
      </c>
      <c r="E32" s="8" t="inlineStr">
        <is>
          <t>Star-Sea Diamond</t>
        </is>
      </c>
      <c r="F32" s="8" t="inlineStr">
        <is>
          <t>Diamant mer d’étoiles</t>
        </is>
      </c>
      <c r="G32" s="7" t="n">
        <v>1500</v>
      </c>
      <c r="H32" s="8" t="inlineStr">
        <is>
          <t>减速 50%，冻结 1.2 秒，Boss 也吃满减速</t>
        </is>
      </c>
      <c r="I32" s="8" t="inlineStr">
        <is>
          <t>Slow 50%, freeze 1.2 s, bosses take the full slow</t>
        </is>
      </c>
      <c r="J32" s="8" t="inlineStr">
        <is>
          <t>Ralentit de 50 %, gèle 1,2 s, les boss subissent tout le ralentissement</t>
        </is>
      </c>
      <c r="K32" s="7" t="inlineStr">
        <is>
          <t>slow=0.5; freeze=1.2; bossSlowFull=1</t>
        </is>
      </c>
      <c r="L32" s="9">
        <f>SUMIFS($G$3:$G$107,$A$3:$A$107,A32,$B$3:$B$107,B32,$C$3:$C$107,"&lt;="&amp;C32)</f>
        <v/>
      </c>
    </row>
    <row r="33">
      <c r="A33" s="6" t="inlineStr">
        <is>
          <t>dart</t>
        </is>
      </c>
      <c r="B33" s="6" t="n">
        <v>1</v>
      </c>
      <c r="C33" s="6" t="n">
        <v>1</v>
      </c>
      <c r="D33" s="8" t="inlineStr">
        <is>
          <t>加料汽水罐</t>
        </is>
      </c>
      <c r="E33" s="8" t="inlineStr">
        <is>
          <t>Loaded Soda Can</t>
        </is>
      </c>
      <c r="F33" s="8" t="inlineStr">
        <is>
          <t>Canette chargée</t>
        </is>
      </c>
      <c r="G33" s="7" t="n">
        <v>70</v>
      </c>
      <c r="H33" s="8" t="inlineStr">
        <is>
          <t>效果 +1</t>
        </is>
      </c>
      <c r="I33" s="8" t="inlineStr">
        <is>
          <t>Effect +1</t>
        </is>
      </c>
      <c r="J33" s="8" t="inlineStr">
        <is>
          <t>Effet +1</t>
        </is>
      </c>
      <c r="K33" s="7" t="inlineStr">
        <is>
          <t>dmg+=1</t>
        </is>
      </c>
      <c r="L33" s="9">
        <f>SUMIFS($G$3:$G$107,$A$3:$A$107,A33,$B$3:$B$107,B33,$C$3:$C$107,"&lt;="&amp;C33)</f>
        <v/>
      </c>
    </row>
    <row r="34">
      <c r="A34" s="6" t="inlineStr">
        <is>
          <t>dart</t>
        </is>
      </c>
      <c r="B34" s="6" t="n">
        <v>1</v>
      </c>
      <c r="C34" s="6" t="n">
        <v>2</v>
      </c>
      <c r="D34" s="8" t="inlineStr">
        <is>
          <t>铁皮罐</t>
        </is>
      </c>
      <c r="E34" s="8" t="inlineStr">
        <is>
          <t>Tin Can</t>
        </is>
      </c>
      <c r="F34" s="8" t="inlineStr">
        <is>
          <t>Canette en tôle</t>
        </is>
      </c>
      <c r="G34" s="7" t="n">
        <v>120</v>
      </c>
      <c r="H34" s="8" t="inlineStr">
        <is>
          <t>对耐力跑者：25% → 60%</t>
        </is>
      </c>
      <c r="I34" s="8" t="inlineStr">
        <is>
          <t>vs endurance runners: 25% → 60%</t>
        </is>
      </c>
      <c r="J34" s="8" t="inlineStr">
        <is>
          <t>Contre les endurants : 25 % → 60 %</t>
        </is>
      </c>
      <c r="K34" s="7" t="inlineStr">
        <is>
          <t>armor&gt;=0.6</t>
        </is>
      </c>
      <c r="L34" s="9">
        <f>SUMIFS($G$3:$G$107,$A$3:$A$107,A34,$B$3:$B$107,B34,$C$3:$C$107,"&lt;="&amp;C34)</f>
        <v/>
      </c>
    </row>
    <row r="35">
      <c r="A35" s="6" t="inlineStr">
        <is>
          <t>dart</t>
        </is>
      </c>
      <c r="B35" s="6" t="n">
        <v>1</v>
      </c>
      <c r="C35" s="6" t="n">
        <v>3</v>
      </c>
      <c r="D35" s="8" t="inlineStr">
        <is>
          <t>实心铁罐</t>
        </is>
      </c>
      <c r="E35" s="8" t="inlineStr">
        <is>
          <t>Solid Iron Can</t>
        </is>
      </c>
      <c r="F35" s="8" t="inlineStr">
        <is>
          <t>Canette pleine en fer</t>
        </is>
      </c>
      <c r="G35" s="7" t="n">
        <v>260</v>
      </c>
      <c r="H35" s="8" t="inlineStr">
        <is>
          <t>效果 +3，对耐力跑者全额生效</t>
        </is>
      </c>
      <c r="I35" s="8" t="inlineStr">
        <is>
          <t>Effect +3, full effect vs endurance runners</t>
        </is>
      </c>
      <c r="J35" s="8" t="inlineStr">
        <is>
          <t>Effet +3, plein effet contre les endurants</t>
        </is>
      </c>
      <c r="K35" s="7" t="inlineStr">
        <is>
          <t>dmg+=3; armor=1</t>
        </is>
      </c>
      <c r="L35" s="9">
        <f>SUMIFS($G$3:$G$107,$A$3:$A$107,A35,$B$3:$B$107,B35,$C$3:$C$107,"&lt;="&amp;C35)</f>
        <v/>
      </c>
    </row>
    <row r="36">
      <c r="A36" s="6" t="inlineStr">
        <is>
          <t>dart</t>
        </is>
      </c>
      <c r="B36" s="6" t="n">
        <v>1</v>
      </c>
      <c r="C36" s="6" t="n">
        <v>4</v>
      </c>
      <c r="D36" s="8" t="inlineStr">
        <is>
          <t>罐头炮</t>
        </is>
      </c>
      <c r="E36" s="8" t="inlineStr">
        <is>
          <t>Can Cannon</t>
        </is>
      </c>
      <c r="F36" s="8" t="inlineStr">
        <is>
          <t>Canon à canettes</t>
        </is>
      </c>
      <c r="G36" s="7" t="n">
        <v>600</v>
      </c>
      <c r="H36" s="8" t="inlineStr">
        <is>
          <t>效果 ×2，对 Boss 不再打折</t>
        </is>
      </c>
      <c r="I36" s="8" t="inlineStr">
        <is>
          <t>Effect ×2, no penalty vs bosses</t>
        </is>
      </c>
      <c r="J36" s="8" t="inlineStr">
        <is>
          <t>Effet ×2, sans pénalité contre les boss</t>
        </is>
      </c>
      <c r="K36" s="7" t="inlineStr">
        <is>
          <t>dmg*=2; bossMul=1</t>
        </is>
      </c>
      <c r="L36" s="9">
        <f>SUMIFS($G$3:$G$107,$A$3:$A$107,A36,$B$3:$B$107,B36,$C$3:$C$107,"&lt;="&amp;C36)</f>
        <v/>
      </c>
    </row>
    <row r="37">
      <c r="A37" s="6" t="inlineStr">
        <is>
          <t>dart</t>
        </is>
      </c>
      <c r="B37" s="6" t="n">
        <v>1</v>
      </c>
      <c r="C37" s="6" t="n">
        <v>5</v>
      </c>
      <c r="D37" s="8" t="inlineStr">
        <is>
          <t>大桶可乐</t>
        </is>
      </c>
      <c r="E37" s="8" t="inlineStr">
        <is>
          <t>Party Keg</t>
        </is>
      </c>
      <c r="F37" s="8" t="inlineStr">
        <is>
          <t>Fût de soda</t>
        </is>
      </c>
      <c r="G37" s="7" t="n">
        <v>1400</v>
      </c>
      <c r="H37" s="8" t="inlineStr">
        <is>
          <t>效果 ×2；命中有 10% 概率直接绊倒退赛（非 Boss）</t>
        </is>
      </c>
      <c r="I37" s="8" t="inlineStr">
        <is>
          <t>Effect ×2; 10% chance to trip a non-boss out of the race</t>
        </is>
      </c>
      <c r="J37" s="8" t="inlineStr">
        <is>
          <t>Effet ×2 ; 10 % de chances de faire abandonner (hors boss)</t>
        </is>
      </c>
      <c r="K37" s="7" t="inlineStr">
        <is>
          <t>dmg*=2; execChance=0.1</t>
        </is>
      </c>
      <c r="L37" s="9">
        <f>SUMIFS($G$3:$G$107,$A$3:$A$107,A37,$B$3:$B$107,B37,$C$3:$C$107,"&lt;="&amp;C37)</f>
        <v/>
      </c>
    </row>
    <row r="38">
      <c r="A38" s="6" t="inlineStr">
        <is>
          <t>dart</t>
        </is>
      </c>
      <c r="B38" s="6" t="n">
        <v>2</v>
      </c>
      <c r="C38" s="6" t="n">
        <v>1</v>
      </c>
      <c r="D38" s="8" t="inlineStr">
        <is>
          <t>快手</t>
        </is>
      </c>
      <c r="E38" s="8" t="inlineStr">
        <is>
          <t>Quick Hands</t>
        </is>
      </c>
      <c r="F38" s="8" t="inlineStr">
        <is>
          <t>Mains rapides</t>
        </is>
      </c>
      <c r="G38" s="7" t="n">
        <v>40</v>
      </c>
      <c r="H38" s="8" t="inlineStr">
        <is>
          <t>出手间隔 −25%</t>
        </is>
      </c>
      <c r="I38" s="8" t="inlineStr">
        <is>
          <t>出手间隔 −25%</t>
        </is>
      </c>
      <c r="J38" s="8" t="inlineStr">
        <is>
          <t>出手间隔 −25%</t>
        </is>
      </c>
      <c r="K38" s="7" t="inlineStr">
        <is>
          <t>rate*=0.75</t>
        </is>
      </c>
      <c r="L38" s="9">
        <f>SUMIFS($G$3:$G$107,$A$3:$A$107,A38,$B$3:$B$107,B38,$C$3:$C$107,"&lt;="&amp;C38)</f>
        <v/>
      </c>
    </row>
    <row r="39">
      <c r="A39" s="6" t="inlineStr">
        <is>
          <t>dart</t>
        </is>
      </c>
      <c r="B39" s="6" t="n">
        <v>2</v>
      </c>
      <c r="C39" s="6" t="n">
        <v>2</v>
      </c>
      <c r="D39" s="8" t="inlineStr">
        <is>
          <t>双手投</t>
        </is>
      </c>
      <c r="E39" s="8" t="inlineStr">
        <is>
          <t>Two-handed</t>
        </is>
      </c>
      <c r="F39" s="8" t="inlineStr">
        <is>
          <t>À deux mains</t>
        </is>
      </c>
      <c r="G39" s="7" t="n">
        <v>70</v>
      </c>
      <c r="H39" s="8" t="inlineStr">
        <is>
          <t>出手间隔 −25%</t>
        </is>
      </c>
      <c r="I39" s="8" t="inlineStr">
        <is>
          <t>出手间隔 −25%</t>
        </is>
      </c>
      <c r="J39" s="8" t="inlineStr">
        <is>
          <t>出手间隔 −25%</t>
        </is>
      </c>
      <c r="K39" s="7" t="inlineStr">
        <is>
          <t>rate*=0.75</t>
        </is>
      </c>
      <c r="L39" s="9">
        <f>SUMIFS($G$3:$G$107,$A$3:$A$107,A39,$B$3:$B$107,B39,$C$3:$C$107,"&lt;="&amp;C39)</f>
        <v/>
      </c>
    </row>
    <row r="40">
      <c r="A40" s="6" t="inlineStr">
        <is>
          <t>dart</t>
        </is>
      </c>
      <c r="B40" s="6" t="n">
        <v>2</v>
      </c>
      <c r="C40" s="6" t="n">
        <v>3</v>
      </c>
      <c r="D40" s="8" t="inlineStr">
        <is>
          <t>三连投</t>
        </is>
      </c>
      <c r="E40" s="8" t="inlineStr">
        <is>
          <t>Triple Toss</t>
        </is>
      </c>
      <c r="F40" s="8" t="inlineStr">
        <is>
          <t>Triple lancer</t>
        </is>
      </c>
      <c r="G40" s="7" t="n">
        <v>280</v>
      </c>
      <c r="H40" s="8" t="inlineStr">
        <is>
          <t>每次多砸 2 名跑者</t>
        </is>
      </c>
      <c r="I40" s="8" t="inlineStr">
        <is>
          <t>Hits 2 more runners each throw</t>
        </is>
      </c>
      <c r="J40" s="8" t="inlineStr">
        <is>
          <t>Touche 2 coureurs de plus par lancer</t>
        </is>
      </c>
      <c r="K40" s="7" t="inlineStr">
        <is>
          <t>multi+=2</t>
        </is>
      </c>
      <c r="L40" s="9">
        <f>SUMIFS($G$3:$G$107,$A$3:$A$107,A40,$B$3:$B$107,B40,$C$3:$C$107,"&lt;="&amp;C40)</f>
        <v/>
      </c>
    </row>
    <row r="41">
      <c r="A41" s="6" t="inlineStr">
        <is>
          <t>dart</t>
        </is>
      </c>
      <c r="B41" s="6" t="n">
        <v>2</v>
      </c>
      <c r="C41" s="6" t="n">
        <v>4</v>
      </c>
      <c r="D41" s="8" t="inlineStr">
        <is>
          <t>自动投罐机</t>
        </is>
      </c>
      <c r="E41" s="8" t="inlineStr">
        <is>
          <t>Auto Can Launcher</t>
        </is>
      </c>
      <c r="F41" s="8" t="inlineStr">
        <is>
          <t>Lanceur automatique</t>
        </is>
      </c>
      <c r="G41" s="7" t="n">
        <v>650</v>
      </c>
      <c r="H41" s="8" t="inlineStr">
        <is>
          <t>出手间隔减半</t>
        </is>
      </c>
      <c r="I41" s="8" t="inlineStr">
        <is>
          <t>Interval halved</t>
        </is>
      </c>
      <c r="J41" s="8" t="inlineStr">
        <is>
          <t>Intervalle divisé par 2</t>
        </is>
      </c>
      <c r="K41" s="7" t="inlineStr">
        <is>
          <t>rate*=0.5</t>
        </is>
      </c>
      <c r="L41" s="9">
        <f>SUMIFS($G$3:$G$107,$A$3:$A$107,A41,$B$3:$B$107,B41,$C$3:$C$107,"&lt;="&amp;C41)</f>
        <v/>
      </c>
    </row>
    <row r="42">
      <c r="A42" s="6" t="inlineStr">
        <is>
          <t>dart</t>
        </is>
      </c>
      <c r="B42" s="6" t="n">
        <v>2</v>
      </c>
      <c r="C42" s="6" t="n">
        <v>5</v>
      </c>
      <c r="D42" s="8" t="inlineStr">
        <is>
          <t>罐头暴雨</t>
        </is>
      </c>
      <c r="E42" s="8" t="inlineStr">
        <is>
          <t>Can Storm</t>
        </is>
      </c>
      <c r="F42" s="8" t="inlineStr">
        <is>
          <t>Pluie de canettes</t>
        </is>
      </c>
      <c r="G42" s="7" t="n">
        <v>1500</v>
      </c>
      <c r="H42" s="8" t="inlineStr">
        <is>
          <t>再多砸 4 名跑者，间隔再 −30%</t>
        </is>
      </c>
      <c r="I42" s="8" t="inlineStr">
        <is>
          <t>Hits 4 more runners, interval −30%</t>
        </is>
      </c>
      <c r="J42" s="8" t="inlineStr">
        <is>
          <t>Touche 4 coureurs de plus, intervalle −30 %</t>
        </is>
      </c>
      <c r="K42" s="7" t="inlineStr">
        <is>
          <t>multi+=4; rate*=0.7</t>
        </is>
      </c>
      <c r="L42" s="9">
        <f>SUMIFS($G$3:$G$107,$A$3:$A$107,A42,$B$3:$B$107,B42,$C$3:$C$107,"&lt;="&amp;C42)</f>
        <v/>
      </c>
    </row>
    <row r="43">
      <c r="A43" s="6" t="inlineStr">
        <is>
          <t>dart</t>
        </is>
      </c>
      <c r="B43" s="6" t="n">
        <v>3</v>
      </c>
      <c r="C43" s="6" t="n">
        <v>1</v>
      </c>
      <c r="D43" s="8" t="inlineStr">
        <is>
          <t>远投</t>
        </is>
      </c>
      <c r="E43" s="8" t="inlineStr">
        <is>
          <t>Long Toss</t>
        </is>
      </c>
      <c r="F43" s="8" t="inlineStr">
        <is>
          <t>Lancer long</t>
        </is>
      </c>
      <c r="G43" s="7" t="n">
        <v>50</v>
      </c>
      <c r="H43" s="8" t="inlineStr">
        <is>
          <t>射程 +25</t>
        </is>
      </c>
      <c r="I43" s="8" t="inlineStr">
        <is>
          <t>Range +25</t>
        </is>
      </c>
      <c r="J43" s="8" t="inlineStr">
        <is>
          <t>Portée +25</t>
        </is>
      </c>
      <c r="K43" s="7" t="inlineStr">
        <is>
          <t>range+=25</t>
        </is>
      </c>
      <c r="L43" s="9">
        <f>SUMIFS($G$3:$G$107,$A$3:$A$107,A43,$B$3:$B$107,B43,$C$3:$C$107,"&lt;="&amp;C43)</f>
        <v/>
      </c>
    </row>
    <row r="44">
      <c r="A44" s="6" t="inlineStr">
        <is>
          <t>dart</t>
        </is>
      </c>
      <c r="B44" s="6" t="n">
        <v>3</v>
      </c>
      <c r="C44" s="6" t="n">
        <v>2</v>
      </c>
      <c r="D44" s="8" t="inlineStr">
        <is>
          <t>精准</t>
        </is>
      </c>
      <c r="E44" s="8" t="inlineStr">
        <is>
          <t>Precision</t>
        </is>
      </c>
      <c r="F44" s="8" t="inlineStr">
        <is>
          <t>Précision</t>
        </is>
      </c>
      <c r="G44" s="7" t="n">
        <v>100</v>
      </c>
      <c r="H44" s="8" t="inlineStr">
        <is>
          <t>暴击率 +15%</t>
        </is>
      </c>
      <c r="I44" s="8" t="inlineStr">
        <is>
          <t>Crit chance +15%</t>
        </is>
      </c>
      <c r="J44" s="8" t="inlineStr">
        <is>
          <t>Chance de critique +15 %</t>
        </is>
      </c>
      <c r="K44" s="7" t="inlineStr">
        <is>
          <t>crit+=0.15</t>
        </is>
      </c>
      <c r="L44" s="9">
        <f>SUMIFS($G$3:$G$107,$A$3:$A$107,A44,$B$3:$B$107,B44,$C$3:$C$107,"&lt;="&amp;C44)</f>
        <v/>
      </c>
    </row>
    <row r="45">
      <c r="A45" s="6" t="inlineStr">
        <is>
          <t>dart</t>
        </is>
      </c>
      <c r="B45" s="6" t="n">
        <v>3</v>
      </c>
      <c r="C45" s="6" t="n">
        <v>3</v>
      </c>
      <c r="D45" s="8" t="inlineStr">
        <is>
          <t>汽水黏鞋</t>
        </is>
      </c>
      <c r="E45" s="8" t="inlineStr">
        <is>
          <t>Sticky Soda</t>
        </is>
      </c>
      <c r="F45" s="8" t="inlineStr">
        <is>
          <t>Soda collant</t>
        </is>
      </c>
      <c r="G45" s="7" t="n">
        <v>300</v>
      </c>
      <c r="H45" s="8" t="inlineStr">
        <is>
          <t>被砸中的跑者鞋底发黏，2 秒内受到所有效果 +20%</t>
        </is>
      </c>
      <c r="I45" s="8" t="inlineStr">
        <is>
          <t>Hit runners get sticky soles: +20% from everything for 2 s</t>
        </is>
      </c>
      <c r="J45" s="8" t="inlineStr">
        <is>
          <t>Semelles collantes : +20 % de tout pendant 2 s</t>
        </is>
      </c>
      <c r="K45" s="7" t="inlineStr">
        <is>
          <t>mark=2</t>
        </is>
      </c>
      <c r="L45" s="9">
        <f>SUMIFS($G$3:$G$107,$A$3:$A$107,A45,$B$3:$B$107,B45,$C$3:$C$107,"&lt;="&amp;C45)</f>
        <v/>
      </c>
    </row>
    <row r="46">
      <c r="A46" s="6" t="inlineStr">
        <is>
          <t>dart</t>
        </is>
      </c>
      <c r="B46" s="6" t="n">
        <v>3</v>
      </c>
      <c r="C46" s="6" t="n">
        <v>4</v>
      </c>
      <c r="D46" s="8" t="inlineStr">
        <is>
          <t>远程狙罐</t>
        </is>
      </c>
      <c r="E46" s="8" t="inlineStr">
        <is>
          <t>Sniper Can</t>
        </is>
      </c>
      <c r="F46" s="8" t="inlineStr">
        <is>
          <t>Canette de précision</t>
        </is>
      </c>
      <c r="G46" s="7" t="n">
        <v>700</v>
      </c>
      <c r="H46" s="8" t="inlineStr">
        <is>
          <t>射程 +60，暴击 ×3</t>
        </is>
      </c>
      <c r="I46" s="8" t="inlineStr">
        <is>
          <t>Range +60, crits ×3</t>
        </is>
      </c>
      <c r="J46" s="8" t="inlineStr">
        <is>
          <t>Portée +60, critiques ×3</t>
        </is>
      </c>
      <c r="K46" s="7" t="inlineStr">
        <is>
          <t>range+=60; critMul=3</t>
        </is>
      </c>
      <c r="L46" s="9">
        <f>SUMIFS($G$3:$G$107,$A$3:$A$107,A46,$B$3:$B$107,B46,$C$3:$C$107,"&lt;="&amp;C46)</f>
        <v/>
      </c>
    </row>
    <row r="47">
      <c r="A47" s="6" t="inlineStr">
        <is>
          <t>dart</t>
        </is>
      </c>
      <c r="B47" s="6" t="n">
        <v>3</v>
      </c>
      <c r="C47" s="6" t="n">
        <v>5</v>
      </c>
      <c r="D47" s="8" t="inlineStr">
        <is>
          <t>补给站站长</t>
        </is>
      </c>
      <c r="E47" s="8" t="inlineStr">
        <is>
          <t>Aid Station Chief</t>
        </is>
      </c>
      <c r="F47" s="8" t="inlineStr">
        <is>
          <t>Chef du ravitaillement</t>
        </is>
      </c>
      <c r="G47" s="7" t="n">
        <v>1300</v>
      </c>
      <c r="H47" s="8" t="inlineStr">
        <is>
          <t>120 范围内其他装置出手间隔 −20%</t>
        </is>
      </c>
      <c r="I47" s="8" t="inlineStr">
        <is>
          <t>Other devices within 120: interval −20%</t>
        </is>
      </c>
      <c r="J47" s="8" t="inlineStr">
        <is>
          <t>Autres dispositifs à 120 : intervalle −20 %</t>
        </is>
      </c>
      <c r="K47" s="7" t="inlineStr">
        <is>
          <t>auraRate=0.8; auraR=120</t>
        </is>
      </c>
      <c r="L47" s="9">
        <f>SUMIFS($G$3:$G$107,$A$3:$A$107,A47,$B$3:$B$107,B47,$C$3:$C$107,"&lt;="&amp;C47)</f>
        <v/>
      </c>
    </row>
    <row r="48">
      <c r="A48" s="6" t="inlineStr">
        <is>
          <t>bomb</t>
        </is>
      </c>
      <c r="B48" s="6" t="n">
        <v>1</v>
      </c>
      <c r="C48" s="6" t="n">
        <v>1</v>
      </c>
      <c r="D48" s="8" t="inlineStr">
        <is>
          <t>大片香蕉皮</t>
        </is>
      </c>
      <c r="E48" s="8" t="inlineStr">
        <is>
          <t>Big Peel</t>
        </is>
      </c>
      <c r="F48" s="8" t="inlineStr">
        <is>
          <t>Grande peau</t>
        </is>
      </c>
      <c r="G48" s="7" t="n">
        <v>70</v>
      </c>
      <c r="H48" s="8" t="inlineStr">
        <is>
          <t>滑倒范围 +10</t>
        </is>
      </c>
      <c r="I48" s="8" t="inlineStr">
        <is>
          <t>Slip area +10</t>
        </is>
      </c>
      <c r="J48" s="8" t="inlineStr">
        <is>
          <t>Zone de glissade +10</t>
        </is>
      </c>
      <c r="K48" s="7" t="inlineStr">
        <is>
          <t>rad+=10</t>
        </is>
      </c>
      <c r="L48" s="9">
        <f>SUMIFS($G$3:$G$107,$A$3:$A$107,A48,$B$3:$B$107,B48,$C$3:$C$107,"&lt;="&amp;C48)</f>
        <v/>
      </c>
    </row>
    <row r="49">
      <c r="A49" s="6" t="inlineStr">
        <is>
          <t>bomb</t>
        </is>
      </c>
      <c r="B49" s="6" t="n">
        <v>1</v>
      </c>
      <c r="C49" s="6" t="n">
        <v>2</v>
      </c>
      <c r="D49" s="8" t="inlineStr">
        <is>
          <t>熟透香蕉</t>
        </is>
      </c>
      <c r="E49" s="8" t="inlineStr">
        <is>
          <t>Overripe Banana</t>
        </is>
      </c>
      <c r="F49" s="8" t="inlineStr">
        <is>
          <t>Banane trop mûre</t>
        </is>
      </c>
      <c r="G49" s="7" t="n">
        <v>150</v>
      </c>
      <c r="H49" s="8" t="inlineStr">
        <is>
          <t>效果 +3</t>
        </is>
      </c>
      <c r="I49" s="8" t="inlineStr">
        <is>
          <t>Effect +3</t>
        </is>
      </c>
      <c r="J49" s="8" t="inlineStr">
        <is>
          <t>Effet +3</t>
        </is>
      </c>
      <c r="K49" s="7" t="inlineStr">
        <is>
          <t>dmg+=3</t>
        </is>
      </c>
      <c r="L49" s="9">
        <f>SUMIFS($G$3:$G$107,$A$3:$A$107,A49,$B$3:$B$107,B49,$C$3:$C$107,"&lt;="&amp;C49)</f>
        <v/>
      </c>
    </row>
    <row r="50">
      <c r="A50" s="6" t="inlineStr">
        <is>
          <t>bomb</t>
        </is>
      </c>
      <c r="B50" s="6" t="n">
        <v>1</v>
      </c>
      <c r="C50" s="6" t="n">
        <v>3</v>
      </c>
      <c r="D50" s="8" t="inlineStr">
        <is>
          <t>四脚朝天</t>
        </is>
      </c>
      <c r="E50" s="8" t="inlineStr">
        <is>
          <t>Flat on Back</t>
        </is>
      </c>
      <c r="F50" s="8" t="inlineStr">
        <is>
          <t>Les quatre fers en l’air</t>
        </is>
      </c>
      <c r="G50" s="7" t="n">
        <v>330</v>
      </c>
      <c r="H50" s="8" t="inlineStr">
        <is>
          <t>滑倒的跑者眩晕 0.6 秒</t>
        </is>
      </c>
      <c r="I50" s="8" t="inlineStr">
        <is>
          <t>Slipping runners are stunned 0.6 s</t>
        </is>
      </c>
      <c r="J50" s="8" t="inlineStr">
        <is>
          <t>Les coureurs qui glissent sont sonnés 0,6 s</t>
        </is>
      </c>
      <c r="K50" s="7" t="inlineStr">
        <is>
          <t>stun=0.6</t>
        </is>
      </c>
      <c r="L50" s="9">
        <f>SUMIFS($G$3:$G$107,$A$3:$A$107,A50,$B$3:$B$107,B50,$C$3:$C$107,"&lt;="&amp;C50)</f>
        <v/>
      </c>
    </row>
    <row r="51">
      <c r="A51" s="6" t="inlineStr">
        <is>
          <t>bomb</t>
        </is>
      </c>
      <c r="B51" s="6" t="n">
        <v>1</v>
      </c>
      <c r="C51" s="6" t="n">
        <v>4</v>
      </c>
      <c r="D51" s="8" t="inlineStr">
        <is>
          <t>香蕉船</t>
        </is>
      </c>
      <c r="E51" s="8" t="inlineStr">
        <is>
          <t>Banana Split</t>
        </is>
      </c>
      <c r="F51" s="8" t="inlineStr">
        <is>
          <t>Banana split</t>
        </is>
      </c>
      <c r="G51" s="7" t="n">
        <v>750</v>
      </c>
      <c r="H51" s="8" t="inlineStr">
        <is>
          <t>对 Boss 效果 ×3</t>
        </is>
      </c>
      <c r="I51" s="8" t="inlineStr">
        <is>
          <t>×3 effect vs bosses</t>
        </is>
      </c>
      <c r="J51" s="8" t="inlineStr">
        <is>
          <t>Effet ×3 contre les boss</t>
        </is>
      </c>
      <c r="K51" s="7" t="inlineStr">
        <is>
          <t>bossMul*=3</t>
        </is>
      </c>
      <c r="L51" s="9">
        <f>SUMIFS($G$3:$G$107,$A$3:$A$107,A51,$B$3:$B$107,B51,$C$3:$C$107,"&lt;="&amp;C51)</f>
        <v/>
      </c>
    </row>
    <row r="52">
      <c r="A52" s="6" t="inlineStr">
        <is>
          <t>bomb</t>
        </is>
      </c>
      <c r="B52" s="6" t="n">
        <v>1</v>
      </c>
      <c r="C52" s="6" t="n">
        <v>5</v>
      </c>
      <c r="D52" s="8" t="inlineStr">
        <is>
          <t>香蕉海啸</t>
        </is>
      </c>
      <c r="E52" s="8" t="inlineStr">
        <is>
          <t>Banana Tsunami</t>
        </is>
      </c>
      <c r="F52" s="8" t="inlineStr">
        <is>
          <t>Tsunami de bananes</t>
        </is>
      </c>
      <c r="G52" s="7" t="n">
        <v>1400</v>
      </c>
      <c r="H52" s="8" t="inlineStr">
        <is>
          <t>效果 +30，范围 +25</t>
        </is>
      </c>
      <c r="I52" s="8" t="inlineStr">
        <is>
          <t>Effect +30, area +25</t>
        </is>
      </c>
      <c r="J52" s="8" t="inlineStr">
        <is>
          <t>Effet +30, zone +25</t>
        </is>
      </c>
      <c r="K52" s="7" t="inlineStr">
        <is>
          <t>dmg+=30; rad+=25</t>
        </is>
      </c>
      <c r="L52" s="9">
        <f>SUMIFS($G$3:$G$107,$A$3:$A$107,A52,$B$3:$B$107,B52,$C$3:$C$107,"&lt;="&amp;C52)</f>
        <v/>
      </c>
    </row>
    <row r="53">
      <c r="A53" s="6" t="inlineStr">
        <is>
          <t>bomb</t>
        </is>
      </c>
      <c r="B53" s="6" t="n">
        <v>2</v>
      </c>
      <c r="C53" s="6" t="n">
        <v>1</v>
      </c>
      <c r="D53" s="8" t="inlineStr">
        <is>
          <t>双发香蕉</t>
        </is>
      </c>
      <c r="E53" s="8" t="inlineStr">
        <is>
          <t>Double Banana</t>
        </is>
      </c>
      <c r="F53" s="8" t="inlineStr">
        <is>
          <t>Double banane</t>
        </is>
      </c>
      <c r="G53" s="7" t="n">
        <v>100</v>
      </c>
      <c r="H53" s="8" t="inlineStr">
        <is>
          <t>一次扔 2 片，砸 2 个点</t>
        </is>
      </c>
      <c r="I53" s="8" t="inlineStr">
        <is>
          <t>Throws 2 peels at 2 spots</t>
        </is>
      </c>
      <c r="J53" s="8" t="inlineStr">
        <is>
          <t>Lance 2 peaux sur 2 points</t>
        </is>
      </c>
      <c r="K53" s="7" t="inlineStr">
        <is>
          <t>bombs=2</t>
        </is>
      </c>
      <c r="L53" s="9">
        <f>SUMIFS($G$3:$G$107,$A$3:$A$107,A53,$B$3:$B$107,B53,$C$3:$C$107,"&lt;="&amp;C53)</f>
        <v/>
      </c>
    </row>
    <row r="54">
      <c r="A54" s="6" t="inlineStr">
        <is>
          <t>bomb</t>
        </is>
      </c>
      <c r="B54" s="6" t="n">
        <v>2</v>
      </c>
      <c r="C54" s="6" t="n">
        <v>2</v>
      </c>
      <c r="D54" s="8" t="inlineStr">
        <is>
          <t>香蕉碎片</t>
        </is>
      </c>
      <c r="E54" s="8" t="inlineStr">
        <is>
          <t>Peel Shrapnel</t>
        </is>
      </c>
      <c r="F54" s="8" t="inlineStr">
        <is>
          <t>Éclats de peau</t>
        </is>
      </c>
      <c r="G54" s="7" t="n">
        <v>160</v>
      </c>
      <c r="H54" s="8" t="inlineStr">
        <is>
          <t>落地后溅出 4 块碎皮，各 30% 效果</t>
        </is>
      </c>
      <c r="I54" s="8" t="inlineStr">
        <is>
          <t>Splatters 4 peel bits on landing, 30% each</t>
        </is>
      </c>
      <c r="J54" s="8" t="inlineStr">
        <is>
          <t>Projette 4 morceaux de peau à l’impact, 30 % chacun</t>
        </is>
      </c>
      <c r="K54" s="7" t="inlineStr">
        <is>
          <t>shrapnel=4</t>
        </is>
      </c>
      <c r="L54" s="9">
        <f>SUMIFS($G$3:$G$107,$A$3:$A$107,A54,$B$3:$B$107,B54,$C$3:$C$107,"&lt;="&amp;C54)</f>
        <v/>
      </c>
    </row>
    <row r="55">
      <c r="A55" s="6" t="inlineStr">
        <is>
          <t>bomb</t>
        </is>
      </c>
      <c r="B55" s="6" t="n">
        <v>2</v>
      </c>
      <c r="C55" s="6" t="n">
        <v>3</v>
      </c>
      <c r="D55" s="8" t="inlineStr">
        <is>
          <t>一串香蕉</t>
        </is>
      </c>
      <c r="E55" s="8" t="inlineStr">
        <is>
          <t>Banana Bunch</t>
        </is>
      </c>
      <c r="F55" s="8" t="inlineStr">
        <is>
          <t>Régime de bananes</t>
        </is>
      </c>
      <c r="G55" s="7" t="n">
        <v>220</v>
      </c>
      <c r="H55" s="8" t="inlineStr">
        <is>
          <t>落地后再弹出 3 根小香蕉</t>
        </is>
      </c>
      <c r="I55" s="8" t="inlineStr">
        <is>
          <t>Bursts into 3 mini bananas on landing</t>
        </is>
      </c>
      <c r="J55" s="8" t="inlineStr">
        <is>
          <t>Éclate en 3 mini-bananes à l’impact</t>
        </is>
      </c>
      <c r="K55" s="7" t="inlineStr">
        <is>
          <t>cluster=1</t>
        </is>
      </c>
      <c r="L55" s="9">
        <f>SUMIFS($G$3:$G$107,$A$3:$A$107,A55,$B$3:$B$107,B55,$C$3:$C$107,"&lt;="&amp;C55)</f>
        <v/>
      </c>
    </row>
    <row r="56">
      <c r="A56" s="6" t="inlineStr">
        <is>
          <t>bomb</t>
        </is>
      </c>
      <c r="B56" s="6" t="n">
        <v>2</v>
      </c>
      <c r="C56" s="6" t="n">
        <v>4</v>
      </c>
      <c r="D56" s="8" t="inlineStr">
        <is>
          <t>香蕉连环</t>
        </is>
      </c>
      <c r="E56" s="8" t="inlineStr">
        <is>
          <t>Banana Cascade</t>
        </is>
      </c>
      <c r="F56" s="8" t="inlineStr">
        <is>
          <t>Cascade de bananes</t>
        </is>
      </c>
      <c r="G56" s="7" t="n">
        <v>480</v>
      </c>
      <c r="H56" s="8" t="inlineStr">
        <is>
          <t>小香蕉还会再散开一次</t>
        </is>
      </c>
      <c r="I56" s="8" t="inlineStr">
        <is>
          <t>Mini bananas split once more</t>
        </is>
      </c>
      <c r="J56" s="8" t="inlineStr">
        <is>
          <t>Les mini-bananes se divisent encore</t>
        </is>
      </c>
      <c r="K56" s="7" t="inlineStr">
        <is>
          <t>cluster=2</t>
        </is>
      </c>
      <c r="L56" s="9">
        <f>SUMIFS($G$3:$G$107,$A$3:$A$107,A56,$B$3:$B$107,B56,$C$3:$C$107,"&lt;="&amp;C56)</f>
        <v/>
      </c>
    </row>
    <row r="57">
      <c r="A57" s="6" t="inlineStr">
        <is>
          <t>bomb</t>
        </is>
      </c>
      <c r="B57" s="6" t="n">
        <v>2</v>
      </c>
      <c r="C57" s="6" t="n">
        <v>5</v>
      </c>
      <c r="D57" s="8" t="inlineStr">
        <is>
          <t>香蕉雨</t>
        </is>
      </c>
      <c r="E57" s="8" t="inlineStr">
        <is>
          <t>Banana Rain</t>
        </is>
      </c>
      <c r="F57" s="8" t="inlineStr">
        <is>
          <t>Pluie de bananes</t>
        </is>
      </c>
      <c r="G57" s="7" t="n">
        <v>1500</v>
      </c>
      <c r="H57" s="8" t="inlineStr">
        <is>
          <t>出手间隔 −60%</t>
        </is>
      </c>
      <c r="I57" s="8" t="inlineStr">
        <is>
          <t>Interval −60%</t>
        </is>
      </c>
      <c r="J57" s="8" t="inlineStr">
        <is>
          <t>Intervalle −60 %</t>
        </is>
      </c>
      <c r="K57" s="7" t="inlineStr">
        <is>
          <t>rate*=0.4</t>
        </is>
      </c>
      <c r="L57" s="9">
        <f>SUMIFS($G$3:$G$107,$A$3:$A$107,A57,$B$3:$B$107,B57,$C$3:$C$107,"&lt;="&amp;C57)</f>
        <v/>
      </c>
    </row>
    <row r="58">
      <c r="A58" s="6" t="inlineStr">
        <is>
          <t>bomb</t>
        </is>
      </c>
      <c r="B58" s="6" t="n">
        <v>3</v>
      </c>
      <c r="C58" s="6" t="n">
        <v>1</v>
      </c>
      <c r="D58" s="8" t="inlineStr">
        <is>
          <t>辣椒粉</t>
        </is>
      </c>
      <c r="E58" s="8" t="inlineStr">
        <is>
          <t>Chili Powder</t>
        </is>
      </c>
      <c r="F58" s="8" t="inlineStr">
        <is>
          <t>Piment en poudre</t>
        </is>
      </c>
      <c r="G58" s="7" t="n">
        <v>80</v>
      </c>
      <c r="H58" s="8" t="inlineStr">
        <is>
          <t>沾到的跑者辣到跳脚 2 秒</t>
        </is>
      </c>
      <c r="I58" s="8" t="inlineStr">
        <is>
          <t>Runners hop from the heat for 2 s</t>
        </is>
      </c>
      <c r="J58" s="8" t="inlineStr">
        <is>
          <t>Les coureurs sautillent de piment 2 s</t>
        </is>
      </c>
      <c r="K58" s="7" t="inlineStr">
        <is>
          <t>burnDur=2; burnPct=0.25</t>
        </is>
      </c>
      <c r="L58" s="9">
        <f>SUMIFS($G$3:$G$107,$A$3:$A$107,A58,$B$3:$B$107,B58,$C$3:$C$107,"&lt;="&amp;C58)</f>
        <v/>
      </c>
    </row>
    <row r="59">
      <c r="A59" s="6" t="inlineStr">
        <is>
          <t>bomb</t>
        </is>
      </c>
      <c r="B59" s="6" t="n">
        <v>3</v>
      </c>
      <c r="C59" s="6" t="n">
        <v>2</v>
      </c>
      <c r="D59" s="8" t="inlineStr">
        <is>
          <t>魔鬼椒</t>
        </is>
      </c>
      <c r="E59" s="8" t="inlineStr">
        <is>
          <t>Ghost Pepper</t>
        </is>
      </c>
      <c r="F59" s="8" t="inlineStr">
        <is>
          <t>Piment fantôme</t>
        </is>
      </c>
      <c r="G59" s="7" t="n">
        <v>140</v>
      </c>
      <c r="H59" s="8" t="inlineStr">
        <is>
          <t>持续 3 秒，持续效果 +40%</t>
        </is>
      </c>
      <c r="I59" s="8" t="inlineStr">
        <is>
          <t>Lasts 3 s, +40% over time</t>
        </is>
      </c>
      <c r="J59" s="8" t="inlineStr">
        <is>
          <t>Dure 3 s, +40 % sur la durée</t>
        </is>
      </c>
      <c r="K59" s="7" t="inlineStr">
        <is>
          <t>burnDur=3; burnPct=0.35</t>
        </is>
      </c>
      <c r="L59" s="9">
        <f>SUMIFS($G$3:$G$107,$A$3:$A$107,A59,$B$3:$B$107,B59,$C$3:$C$107,"&lt;="&amp;C59)</f>
        <v/>
      </c>
    </row>
    <row r="60">
      <c r="A60" s="6" t="inlineStr">
        <is>
          <t>bomb</t>
        </is>
      </c>
      <c r="B60" s="6" t="n">
        <v>3</v>
      </c>
      <c r="C60" s="6" t="n">
        <v>3</v>
      </c>
      <c r="D60" s="8" t="inlineStr">
        <is>
          <t>辣油泼地</t>
        </is>
      </c>
      <c r="E60" s="8" t="inlineStr">
        <is>
          <t>Oil Slick</t>
        </is>
      </c>
      <c r="F60" s="8" t="inlineStr">
        <is>
          <t>Flaque pimentée</t>
        </is>
      </c>
      <c r="G60" s="7" t="n">
        <v>260</v>
      </c>
      <c r="H60" s="8" t="inlineStr">
        <is>
          <t>落点留下 2 秒辣油</t>
        </is>
      </c>
      <c r="I60" s="8" t="inlineStr">
        <is>
          <t>Leaves chili oil for 2 s</t>
        </is>
      </c>
      <c r="J60" s="8" t="inlineStr">
        <is>
          <t>Laisse de l’huile pimentée 2 s</t>
        </is>
      </c>
      <c r="K60" s="7" t="inlineStr">
        <is>
          <t>firePatch=2</t>
        </is>
      </c>
      <c r="L60" s="9">
        <f>SUMIFS($G$3:$G$107,$A$3:$A$107,A60,$B$3:$B$107,B60,$C$3:$C$107,"&lt;="&amp;C60)</f>
        <v/>
      </c>
    </row>
    <row r="61">
      <c r="A61" s="6" t="inlineStr">
        <is>
          <t>bomb</t>
        </is>
      </c>
      <c r="B61" s="6" t="n">
        <v>3</v>
      </c>
      <c r="C61" s="6" t="n">
        <v>4</v>
      </c>
      <c r="D61" s="8" t="inlineStr">
        <is>
          <t>变态辣</t>
        </is>
      </c>
      <c r="E61" s="8" t="inlineStr">
        <is>
          <t>Insanely Hot</t>
        </is>
      </c>
      <c r="F61" s="8" t="inlineStr">
        <is>
          <t>Ultra piquant</t>
        </is>
      </c>
      <c r="G61" s="7" t="n">
        <v>560</v>
      </c>
      <c r="H61" s="8" t="inlineStr">
        <is>
          <t>持续效果 ×2.5</t>
        </is>
      </c>
      <c r="I61" s="8" t="inlineStr">
        <is>
          <t>Effect over time ×2.5</t>
        </is>
      </c>
      <c r="J61" s="8" t="inlineStr">
        <is>
          <t>Effet sur la durée ×2,5</t>
        </is>
      </c>
      <c r="K61" s="7" t="inlineStr">
        <is>
          <t>burnPct*=2.5</t>
        </is>
      </c>
      <c r="L61" s="9">
        <f>SUMIFS($G$3:$G$107,$A$3:$A$107,A61,$B$3:$B$107,B61,$C$3:$C$107,"&lt;="&amp;C61)</f>
        <v/>
      </c>
    </row>
    <row r="62">
      <c r="A62" s="6" t="inlineStr">
        <is>
          <t>bomb</t>
        </is>
      </c>
      <c r="B62" s="6" t="n">
        <v>3</v>
      </c>
      <c r="C62" s="6" t="n">
        <v>5</v>
      </c>
      <c r="D62" s="8" t="inlineStr">
        <is>
          <t>火锅底料</t>
        </is>
      </c>
      <c r="E62" s="8" t="inlineStr">
        <is>
          <t>Hot Pot Base</t>
        </is>
      </c>
      <c r="F62" s="8" t="inlineStr">
        <is>
          <t>Bouillon fondue chinoise</t>
        </is>
      </c>
      <c r="G62" s="7" t="n">
        <v>1600</v>
      </c>
      <c r="H62" s="8" t="inlineStr">
        <is>
          <t>辣到退赛的跑者会把辣油溅到身边</t>
        </is>
      </c>
      <c r="I62" s="8" t="inlineStr">
        <is>
          <t>Runners who quit from the heat splash chili oil around</t>
        </is>
      </c>
      <c r="J62" s="8" t="inlineStr">
        <is>
          <t>Les coureurs qui abandonnent éclaboussent d’huile pimentée</t>
        </is>
      </c>
      <c r="K62" s="7" t="inlineStr">
        <is>
          <t>inferno=1</t>
        </is>
      </c>
      <c r="L62" s="9">
        <f>SUMIFS($G$3:$G$107,$A$3:$A$107,A62,$B$3:$B$107,B62,$C$3:$C$107,"&lt;="&amp;C62)</f>
        <v/>
      </c>
    </row>
    <row r="63">
      <c r="A63" s="6" t="inlineStr">
        <is>
          <t>frost</t>
        </is>
      </c>
      <c r="B63" s="6" t="n">
        <v>1</v>
      </c>
      <c r="C63" s="6" t="n">
        <v>1</v>
      </c>
      <c r="D63" s="8" t="inlineStr">
        <is>
          <t>凉水</t>
        </is>
      </c>
      <c r="E63" s="8" t="inlineStr">
        <is>
          <t>Cold Water</t>
        </is>
      </c>
      <c r="F63" s="8" t="inlineStr">
        <is>
          <t>Eau froide</t>
        </is>
      </c>
      <c r="G63" s="7" t="n">
        <v>60</v>
      </c>
      <c r="H63" s="8" t="inlineStr">
        <is>
          <t>减速 +10%</t>
        </is>
      </c>
      <c r="I63" s="8" t="inlineStr">
        <is>
          <t>Slow +10%</t>
        </is>
      </c>
      <c r="J63" s="8" t="inlineStr">
        <is>
          <t>Ralenti +10 %</t>
        </is>
      </c>
      <c r="K63" s="7" t="inlineStr">
        <is>
          <t>slow+=0.1</t>
        </is>
      </c>
      <c r="L63" s="9">
        <f>SUMIFS($G$3:$G$107,$A$3:$A$107,A63,$B$3:$B$107,B63,$C$3:$C$107,"&lt;="&amp;C63)</f>
        <v/>
      </c>
    </row>
    <row r="64">
      <c r="A64" s="6" t="inlineStr">
        <is>
          <t>frost</t>
        </is>
      </c>
      <c r="B64" s="6" t="n">
        <v>1</v>
      </c>
      <c r="C64" s="6" t="n">
        <v>2</v>
      </c>
      <c r="D64" s="8" t="inlineStr">
        <is>
          <t>持续喷淋</t>
        </is>
      </c>
      <c r="E64" s="8" t="inlineStr">
        <is>
          <t>Steady Spray</t>
        </is>
      </c>
      <c r="F64" s="8" t="inlineStr">
        <is>
          <t>Arrosage continu</t>
        </is>
      </c>
      <c r="G64" s="7" t="n">
        <v>90</v>
      </c>
      <c r="H64" s="8" t="inlineStr">
        <is>
          <t>湿滑持续 +1 秒</t>
        </is>
      </c>
      <c r="I64" s="8" t="inlineStr">
        <is>
          <t>Wet track lasts +1 s</t>
        </is>
      </c>
      <c r="J64" s="8" t="inlineStr">
        <is>
          <t>Piste mouillée +1 s</t>
        </is>
      </c>
      <c r="K64" s="7" t="inlineStr">
        <is>
          <t>slowDur+=1</t>
        </is>
      </c>
      <c r="L64" s="9">
        <f>SUMIFS($G$3:$G$107,$A$3:$A$107,A64,$B$3:$B$107,B64,$C$3:$C$107,"&lt;="&amp;C64)</f>
        <v/>
      </c>
    </row>
    <row r="65">
      <c r="A65" s="6" t="inlineStr">
        <is>
          <t>frost</t>
        </is>
      </c>
      <c r="B65" s="6" t="n">
        <v>1</v>
      </c>
      <c r="C65" s="6" t="n">
        <v>3</v>
      </c>
      <c r="D65" s="8" t="inlineStr">
        <is>
          <t>冰水</t>
        </is>
      </c>
      <c r="E65" s="8" t="inlineStr">
        <is>
          <t>Ice Water</t>
        </is>
      </c>
      <c r="F65" s="8" t="inlineStr">
        <is>
          <t>Eau glacée</t>
        </is>
      </c>
      <c r="G65" s="7" t="n">
        <v>300</v>
      </c>
      <c r="H65" s="8" t="inlineStr">
        <is>
          <t>冻住非 Boss 跑者 0.8 秒</t>
        </is>
      </c>
      <c r="I65" s="8" t="inlineStr">
        <is>
          <t>Freezes non-boss runners for 0.8 s</t>
        </is>
      </c>
      <c r="J65" s="8" t="inlineStr">
        <is>
          <t>Gèle les coureurs (hors boss) 0,8 s</t>
        </is>
      </c>
      <c r="K65" s="7" t="inlineStr">
        <is>
          <t>freeze=0.8</t>
        </is>
      </c>
      <c r="L65" s="9">
        <f>SUMIFS($G$3:$G$107,$A$3:$A$107,A65,$B$3:$B$107,B65,$C$3:$C$107,"&lt;="&amp;C65)</f>
        <v/>
      </c>
    </row>
    <row r="66">
      <c r="A66" s="6" t="inlineStr">
        <is>
          <t>frost</t>
        </is>
      </c>
      <c r="B66" s="6" t="n">
        <v>1</v>
      </c>
      <c r="C66" s="6" t="n">
        <v>4</v>
      </c>
      <c r="D66" s="8" t="inlineStr">
        <is>
          <t>冰桶挑战</t>
        </is>
      </c>
      <c r="E66" s="8" t="inlineStr">
        <is>
          <t>Ice Bucket Challenge</t>
        </is>
      </c>
      <c r="F66" s="8" t="inlineStr">
        <is>
          <t>Ice Bucket Challenge</t>
        </is>
      </c>
      <c r="G66" s="7" t="n">
        <v>750</v>
      </c>
      <c r="H66" s="8" t="inlineStr">
        <is>
          <t>冻住 1.5 秒，Boss 也吃满减速</t>
        </is>
      </c>
      <c r="I66" s="8" t="inlineStr">
        <is>
          <t>Freezes 1.5 s; bosses take the full slow</t>
        </is>
      </c>
      <c r="J66" s="8" t="inlineStr">
        <is>
          <t>Gèle 1,5 s ; les boss subissent tout le ralentissement</t>
        </is>
      </c>
      <c r="K66" s="7" t="inlineStr">
        <is>
          <t>freeze=1.5; bossSlowFull=1</t>
        </is>
      </c>
      <c r="L66" s="9">
        <f>SUMIFS($G$3:$G$107,$A$3:$A$107,A66,$B$3:$B$107,B66,$C$3:$C$107,"&lt;="&amp;C66)</f>
        <v/>
      </c>
    </row>
    <row r="67">
      <c r="A67" s="6" t="inlineStr">
        <is>
          <t>frost</t>
        </is>
      </c>
      <c r="B67" s="6" t="n">
        <v>1</v>
      </c>
      <c r="C67" s="6" t="n">
        <v>5</v>
      </c>
      <c r="D67" s="8" t="inlineStr">
        <is>
          <t>人工降雪</t>
        </is>
      </c>
      <c r="E67" s="8" t="inlineStr">
        <is>
          <t>Snow Machine</t>
        </is>
      </c>
      <c r="F67" s="8" t="inlineStr">
        <is>
          <t>Canon à neige</t>
        </is>
      </c>
      <c r="G67" s="7" t="n">
        <v>1600</v>
      </c>
      <c r="H67" s="8" t="inlineStr">
        <is>
          <t>每 8 秒冻住全场非 Boss 跑者 2 秒</t>
        </is>
      </c>
      <c r="I67" s="8" t="inlineStr">
        <is>
          <t>Every 8 s, freezes all non-boss runners for 2 s</t>
        </is>
      </c>
      <c r="J67" s="8" t="inlineStr">
        <is>
          <t>Toutes les 8 s, gèle tous les coureurs (hors boss) 2 s</t>
        </is>
      </c>
      <c r="K67" s="7" t="inlineStr">
        <is>
          <t>iceAge=8</t>
        </is>
      </c>
      <c r="L67" s="9">
        <f>SUMIFS($G$3:$G$107,$A$3:$A$107,A67,$B$3:$B$107,B67,$C$3:$C$107,"&lt;="&amp;C67)</f>
        <v/>
      </c>
    </row>
    <row r="68">
      <c r="A68" s="6" t="inlineStr">
        <is>
          <t>frost</t>
        </is>
      </c>
      <c r="B68" s="6" t="n">
        <v>2</v>
      </c>
      <c r="C68" s="6" t="n">
        <v>1</v>
      </c>
      <c r="D68" s="8" t="inlineStr">
        <is>
          <t>加压</t>
        </is>
      </c>
      <c r="E68" s="8" t="inlineStr">
        <is>
          <t>Pressurize</t>
        </is>
      </c>
      <c r="F68" s="8" t="inlineStr">
        <is>
          <t>Pression</t>
        </is>
      </c>
      <c r="G68" s="7" t="n">
        <v>70</v>
      </c>
      <c r="H68" s="8" t="inlineStr">
        <is>
          <t>效果 +0.5</t>
        </is>
      </c>
      <c r="I68" s="8" t="inlineStr">
        <is>
          <t>Effect +0.5</t>
        </is>
      </c>
      <c r="J68" s="8" t="inlineStr">
        <is>
          <t>Effet +0,5</t>
        </is>
      </c>
      <c r="K68" s="7" t="inlineStr">
        <is>
          <t>dmg+=0.5</t>
        </is>
      </c>
      <c r="L68" s="9">
        <f>SUMIFS($G$3:$G$107,$A$3:$A$107,A68,$B$3:$B$107,B68,$C$3:$C$107,"&lt;="&amp;C68)</f>
        <v/>
      </c>
    </row>
    <row r="69">
      <c r="A69" s="6" t="inlineStr">
        <is>
          <t>frost</t>
        </is>
      </c>
      <c r="B69" s="6" t="n">
        <v>2</v>
      </c>
      <c r="C69" s="6" t="n">
        <v>2</v>
      </c>
      <c r="D69" s="8" t="inlineStr">
        <is>
          <t>湿身</t>
        </is>
      </c>
      <c r="E69" s="8" t="inlineStr">
        <is>
          <t>Soaked</t>
        </is>
      </c>
      <c r="F69" s="8" t="inlineStr">
        <is>
          <t>Trempé</t>
        </is>
      </c>
      <c r="G69" s="7" t="n">
        <v>130</v>
      </c>
      <c r="H69" s="8" t="inlineStr">
        <is>
          <t>被淋湿的跑者受到所有效果 +25%</t>
        </is>
      </c>
      <c r="I69" s="8" t="inlineStr">
        <is>
          <t>Wet runners take +25% from everything</t>
        </is>
      </c>
      <c r="J69" s="8" t="inlineStr">
        <is>
          <t>Les coureurs mouillés subissent +25 % de tout</t>
        </is>
      </c>
      <c r="K69" s="7" t="inlineStr">
        <is>
          <t>vulnSlow=0.25</t>
        </is>
      </c>
      <c r="L69" s="9">
        <f>SUMIFS($G$3:$G$107,$A$3:$A$107,A69,$B$3:$B$107,B69,$C$3:$C$107,"&lt;="&amp;C69)</f>
        <v/>
      </c>
    </row>
    <row r="70">
      <c r="A70" s="6" t="inlineStr">
        <is>
          <t>frost</t>
        </is>
      </c>
      <c r="B70" s="6" t="n">
        <v>2</v>
      </c>
      <c r="C70" s="6" t="n">
        <v>3</v>
      </c>
      <c r="D70" s="8" t="inlineStr">
        <is>
          <t>高压水柱</t>
        </is>
      </c>
      <c r="E70" s="8" t="inlineStr">
        <is>
          <t>Water Jet</t>
        </is>
      </c>
      <c r="F70" s="8" t="inlineStr">
        <is>
          <t>Jet d’eau</t>
        </is>
      </c>
      <c r="G70" s="7" t="n">
        <v>320</v>
      </c>
      <c r="H70" s="8" t="inlineStr">
        <is>
          <t>效果 ×2</t>
        </is>
      </c>
      <c r="I70" s="8" t="inlineStr">
        <is>
          <t>Effect ×2</t>
        </is>
      </c>
      <c r="J70" s="8" t="inlineStr">
        <is>
          <t>Effet ×2</t>
        </is>
      </c>
      <c r="K70" s="7" t="inlineStr">
        <is>
          <t>dmg*=2</t>
        </is>
      </c>
      <c r="L70" s="9">
        <f>SUMIFS($G$3:$G$107,$A$3:$A$107,A70,$B$3:$B$107,B70,$C$3:$C$107,"&lt;="&amp;C70)</f>
        <v/>
      </c>
    </row>
    <row r="71">
      <c r="A71" s="6" t="inlineStr">
        <is>
          <t>frost</t>
        </is>
      </c>
      <c r="B71" s="6" t="n">
        <v>2</v>
      </c>
      <c r="C71" s="6" t="n">
        <v>4</v>
      </c>
      <c r="D71" s="8" t="inlineStr">
        <is>
          <t>冰面</t>
        </is>
      </c>
      <c r="E71" s="8" t="inlineStr">
        <is>
          <t>Black Ice</t>
        </is>
      </c>
      <c r="F71" s="8" t="inlineStr">
        <is>
          <t>Verglas</t>
        </is>
      </c>
      <c r="G71" s="7" t="n">
        <v>680</v>
      </c>
      <c r="H71" s="8" t="inlineStr">
        <is>
          <t>被冻住的跑者受到所有效果 +60%</t>
        </is>
      </c>
      <c r="I71" s="8" t="inlineStr">
        <is>
          <t>Frozen runners take +60% from everything</t>
        </is>
      </c>
      <c r="J71" s="8" t="inlineStr">
        <is>
          <t>Les coureurs gelés subissent +60 % de tout</t>
        </is>
      </c>
      <c r="K71" s="7" t="inlineStr">
        <is>
          <t>vulnFreeze=0.6</t>
        </is>
      </c>
      <c r="L71" s="9">
        <f>SUMIFS($G$3:$G$107,$A$3:$A$107,A71,$B$3:$B$107,B71,$C$3:$C$107,"&lt;="&amp;C71)</f>
        <v/>
      </c>
    </row>
    <row r="72">
      <c r="A72" s="6" t="inlineStr">
        <is>
          <t>frost</t>
        </is>
      </c>
      <c r="B72" s="6" t="n">
        <v>2</v>
      </c>
      <c r="C72" s="6" t="n">
        <v>5</v>
      </c>
      <c r="D72" s="8" t="inlineStr">
        <is>
          <t>消防水炮</t>
        </is>
      </c>
      <c r="E72" s="8" t="inlineStr">
        <is>
          <t>Fire Hose Cannon</t>
        </is>
      </c>
      <c r="F72" s="8" t="inlineStr">
        <is>
          <t>Lance à incendie</t>
        </is>
      </c>
      <c r="G72" s="7" t="n">
        <v>1500</v>
      </c>
      <c r="H72" s="8" t="inlineStr">
        <is>
          <t>效果 +6，射程 +40</t>
        </is>
      </c>
      <c r="I72" s="8" t="inlineStr">
        <is>
          <t>Effect +6, range +40</t>
        </is>
      </c>
      <c r="J72" s="8" t="inlineStr">
        <is>
          <t>Effet +6, portée +40</t>
        </is>
      </c>
      <c r="K72" s="7" t="inlineStr">
        <is>
          <t>dmg+=6; range+=40</t>
        </is>
      </c>
      <c r="L72" s="9">
        <f>SUMIFS($G$3:$G$107,$A$3:$A$107,A72,$B$3:$B$107,B72,$C$3:$C$107,"&lt;="&amp;C72)</f>
        <v/>
      </c>
    </row>
    <row r="73">
      <c r="A73" s="6" t="inlineStr">
        <is>
          <t>frost</t>
        </is>
      </c>
      <c r="B73" s="6" t="n">
        <v>3</v>
      </c>
      <c r="C73" s="6" t="n">
        <v>1</v>
      </c>
      <c r="D73" s="8" t="inlineStr">
        <is>
          <t>喷头扩展</t>
        </is>
      </c>
      <c r="E73" s="8" t="inlineStr">
        <is>
          <t>Wider Nozzle</t>
        </is>
      </c>
      <c r="F73" s="8" t="inlineStr">
        <is>
          <t>Buse élargie</t>
        </is>
      </c>
      <c r="G73" s="7" t="n">
        <v>60</v>
      </c>
      <c r="H73" s="8" t="inlineStr">
        <is>
          <t>射程 +20</t>
        </is>
      </c>
      <c r="I73" s="8" t="inlineStr">
        <is>
          <t>Range +20</t>
        </is>
      </c>
      <c r="J73" s="8" t="inlineStr">
        <is>
          <t>Portée +20</t>
        </is>
      </c>
      <c r="K73" s="7" t="inlineStr">
        <is>
          <t>range+=20</t>
        </is>
      </c>
      <c r="L73" s="9">
        <f>SUMIFS($G$3:$G$107,$A$3:$A$107,A73,$B$3:$B$107,B73,$C$3:$C$107,"&lt;="&amp;C73)</f>
        <v/>
      </c>
    </row>
    <row r="74">
      <c r="A74" s="6" t="inlineStr">
        <is>
          <t>frost</t>
        </is>
      </c>
      <c r="B74" s="6" t="n">
        <v>3</v>
      </c>
      <c r="C74" s="6" t="n">
        <v>2</v>
      </c>
      <c r="D74" s="8" t="inlineStr">
        <is>
          <t>快速喷淋</t>
        </is>
      </c>
      <c r="E74" s="8" t="inlineStr">
        <is>
          <t>Rapid Spray</t>
        </is>
      </c>
      <c r="F74" s="8" t="inlineStr">
        <is>
          <t>Arrosage rapide</t>
        </is>
      </c>
      <c r="G74" s="7" t="n">
        <v>110</v>
      </c>
      <c r="H74" s="8" t="inlineStr">
        <is>
          <t>出手间隔 −20%</t>
        </is>
      </c>
      <c r="I74" s="8" t="inlineStr">
        <is>
          <t>Interval −20%</t>
        </is>
      </c>
      <c r="J74" s="8" t="inlineStr">
        <is>
          <t>Intervalle −20 %</t>
        </is>
      </c>
      <c r="K74" s="7" t="inlineStr">
        <is>
          <t>rate*=0.8</t>
        </is>
      </c>
      <c r="L74" s="9">
        <f>SUMIFS($G$3:$G$107,$A$3:$A$107,A74,$B$3:$B$107,B74,$C$3:$C$107,"&lt;="&amp;C74)</f>
        <v/>
      </c>
    </row>
    <row r="75">
      <c r="A75" s="6" t="inlineStr">
        <is>
          <t>frost</t>
        </is>
      </c>
      <c r="B75" s="6" t="n">
        <v>3</v>
      </c>
      <c r="C75" s="6" t="n">
        <v>3</v>
      </c>
      <c r="D75" s="8" t="inlineStr">
        <is>
          <t>泡水鞋</t>
        </is>
      </c>
      <c r="E75" s="8" t="inlineStr">
        <is>
          <t>Soggy Shoes</t>
        </is>
      </c>
      <c r="F75" s="8" t="inlineStr">
        <is>
          <t>Chaussures trempées</t>
        </is>
      </c>
      <c r="G75" s="7" t="n">
        <v>260</v>
      </c>
      <c r="H75" s="8" t="inlineStr">
        <is>
          <t>耐力跑者的鞋泡水，3 秒内失去耐力加成</t>
        </is>
      </c>
      <c r="I75" s="8" t="inlineStr">
        <is>
          <t>Soaks endurance runners’ shoes: no endurance bonus for 3 s</t>
        </is>
      </c>
      <c r="J75" s="8" t="inlineStr">
        <is>
          <t>Trempe les chaussures des endurants : plus de bonus pendant 3 s</t>
        </is>
      </c>
      <c r="K75" s="7" t="inlineStr">
        <is>
          <t>strip=3</t>
        </is>
      </c>
      <c r="L75" s="9">
        <f>SUMIFS($G$3:$G$107,$A$3:$A$107,A75,$B$3:$B$107,B75,$C$3:$C$107,"&lt;="&amp;C75)</f>
        <v/>
      </c>
    </row>
    <row r="76">
      <c r="A76" s="6" t="inlineStr">
        <is>
          <t>frost</t>
        </is>
      </c>
      <c r="B76" s="6" t="n">
        <v>3</v>
      </c>
      <c r="C76" s="6" t="n">
        <v>4</v>
      </c>
      <c r="D76" s="8" t="inlineStr">
        <is>
          <t>补水光环</t>
        </is>
      </c>
      <c r="E76" s="8" t="inlineStr">
        <is>
          <t>Hydration Aura</t>
        </is>
      </c>
      <c r="F76" s="8" t="inlineStr">
        <is>
          <t>Aura d’hydratation</t>
        </is>
      </c>
      <c r="G76" s="7" t="n">
        <v>600</v>
      </c>
      <c r="H76" s="8" t="inlineStr">
        <is>
          <t>射程内其他装置效果 +20%</t>
        </is>
      </c>
      <c r="I76" s="8" t="inlineStr">
        <is>
          <t>Other devices in range: effect +20%</t>
        </is>
      </c>
      <c r="J76" s="8" t="inlineStr">
        <is>
          <t>Autres dispositifs à portée : effet +20 %</t>
        </is>
      </c>
      <c r="K76" s="7" t="inlineStr">
        <is>
          <t>auraDmg=1.2</t>
        </is>
      </c>
      <c r="L76" s="9">
        <f>SUMIFS($G$3:$G$107,$A$3:$A$107,A76,$B$3:$B$107,B76,$C$3:$C$107,"&lt;="&amp;C76)</f>
        <v/>
      </c>
    </row>
    <row r="77">
      <c r="A77" s="6" t="inlineStr">
        <is>
          <t>frost</t>
        </is>
      </c>
      <c r="B77" s="6" t="n">
        <v>3</v>
      </c>
      <c r="C77" s="6" t="n">
        <v>5</v>
      </c>
      <c r="D77" s="8" t="inlineStr">
        <is>
          <t>能量饮料站</t>
        </is>
      </c>
      <c r="E77" s="8" t="inlineStr">
        <is>
          <t>Energy Drink Station</t>
        </is>
      </c>
      <c r="F77" s="8" t="inlineStr">
        <is>
          <t>Stand de boissons énergisantes</t>
        </is>
      </c>
      <c r="G77" s="7" t="n">
        <v>1300</v>
      </c>
      <c r="H77" s="8" t="inlineStr">
        <is>
          <t>射程内其他装置出手间隔 −25%</t>
        </is>
      </c>
      <c r="I77" s="8" t="inlineStr">
        <is>
          <t>Other devices in range: interval −25%</t>
        </is>
      </c>
      <c r="J77" s="8" t="inlineStr">
        <is>
          <t>Autres dispositifs à portée : intervalle −25 %</t>
        </is>
      </c>
      <c r="K77" s="7" t="inlineStr">
        <is>
          <t>auraRate=0.75</t>
        </is>
      </c>
      <c r="L77" s="9">
        <f>SUMIFS($G$3:$G$107,$A$3:$A$107,A77,$B$3:$B$107,B77,$C$3:$C$107,"&lt;="&amp;C77)</f>
        <v/>
      </c>
    </row>
    <row r="78">
      <c r="A78" s="6" t="inlineStr">
        <is>
          <t>sniper</t>
        </is>
      </c>
      <c r="B78" s="6" t="n">
        <v>1</v>
      </c>
      <c r="C78" s="6" t="n">
        <v>1</v>
      </c>
      <c r="D78" s="8" t="inlineStr">
        <is>
          <t>加重鞋盒</t>
        </is>
      </c>
      <c r="E78" s="8" t="inlineStr">
        <is>
          <t>Heavy Shoebox</t>
        </is>
      </c>
      <c r="F78" s="8" t="inlineStr">
        <is>
          <t>Boîte lestée</t>
        </is>
      </c>
      <c r="G78" s="7" t="n">
        <v>100</v>
      </c>
      <c r="H78" s="8" t="inlineStr">
        <is>
          <t>效果 +4</t>
        </is>
      </c>
      <c r="I78" s="8" t="inlineStr">
        <is>
          <t>Effect +4</t>
        </is>
      </c>
      <c r="J78" s="8" t="inlineStr">
        <is>
          <t>Effet +4</t>
        </is>
      </c>
      <c r="K78" s="7" t="inlineStr">
        <is>
          <t>dmg+=4</t>
        </is>
      </c>
      <c r="L78" s="9">
        <f>SUMIFS($G$3:$G$107,$A$3:$A$107,A78,$B$3:$B$107,B78,$C$3:$C$107,"&lt;="&amp;C78)</f>
        <v/>
      </c>
    </row>
    <row r="79">
      <c r="A79" s="6" t="inlineStr">
        <is>
          <t>sniper</t>
        </is>
      </c>
      <c r="B79" s="6" t="n">
        <v>1</v>
      </c>
      <c r="C79" s="6" t="n">
        <v>2</v>
      </c>
      <c r="D79" s="8" t="inlineStr">
        <is>
          <t>大号鞋盒</t>
        </is>
      </c>
      <c r="E79" s="8" t="inlineStr">
        <is>
          <t>XL Shoebox</t>
        </is>
      </c>
      <c r="F79" s="8" t="inlineStr">
        <is>
          <t>Boîte XL</t>
        </is>
      </c>
      <c r="G79" s="7" t="n">
        <v>180</v>
      </c>
      <c r="H79" s="8" t="inlineStr">
        <is>
          <t>效果 +6</t>
        </is>
      </c>
      <c r="I79" s="8" t="inlineStr">
        <is>
          <t>Effect +6</t>
        </is>
      </c>
      <c r="J79" s="8" t="inlineStr">
        <is>
          <t>Effet +6</t>
        </is>
      </c>
      <c r="K79" s="7" t="inlineStr">
        <is>
          <t>dmg+=6</t>
        </is>
      </c>
      <c r="L79" s="9">
        <f>SUMIFS($G$3:$G$107,$A$3:$A$107,A79,$B$3:$B$107,B79,$C$3:$C$107,"&lt;="&amp;C79)</f>
        <v/>
      </c>
    </row>
    <row r="80">
      <c r="A80" s="6" t="inlineStr">
        <is>
          <t>sniper</t>
        </is>
      </c>
      <c r="B80" s="6" t="n">
        <v>1</v>
      </c>
      <c r="C80" s="6" t="n">
        <v>3</v>
      </c>
      <c r="D80" s="8" t="inlineStr">
        <is>
          <t>退赛通知</t>
        </is>
      </c>
      <c r="E80" s="8" t="inlineStr">
        <is>
          <t>DNF notice</t>
        </is>
      </c>
      <c r="F80" s="8" t="inlineStr">
        <is>
          <t>Avis d’abandon</t>
        </is>
      </c>
      <c r="G80" s="7" t="n">
        <v>400</v>
      </c>
      <c r="H80" s="8" t="inlineStr">
        <is>
          <t>体力低于 25% 的非 Boss 跑者直接退赛</t>
        </is>
      </c>
      <c r="I80" s="8" t="inlineStr">
        <is>
          <t>Non-boss runners under 25% stamina quit instantly</t>
        </is>
      </c>
      <c r="J80" s="8" t="inlineStr">
        <is>
          <t>Les coureurs (hors boss) sous 25 % d’endurance abandonnent</t>
        </is>
      </c>
      <c r="K80" s="7" t="inlineStr">
        <is>
          <t>exec25=1</t>
        </is>
      </c>
      <c r="L80" s="9">
        <f>SUMIFS($G$3:$G$107,$A$3:$A$107,A80,$B$3:$B$107,B80,$C$3:$C$107,"&lt;="&amp;C80)</f>
        <v/>
      </c>
    </row>
    <row r="81">
      <c r="A81" s="6" t="inlineStr">
        <is>
          <t>sniper</t>
        </is>
      </c>
      <c r="B81" s="6" t="n">
        <v>1</v>
      </c>
      <c r="C81" s="6" t="n">
        <v>4</v>
      </c>
      <c r="D81" s="8" t="inlineStr">
        <is>
          <t>创世鞋盒</t>
        </is>
      </c>
      <c r="E81" s="8" t="inlineStr">
        <is>
          <t>Genesis Shoebox</t>
        </is>
      </c>
      <c r="F81" s="8" t="inlineStr">
        <is>
          <t>Boîte Genesis</t>
        </is>
      </c>
      <c r="G81" s="7" t="n">
        <v>750</v>
      </c>
      <c r="H81" s="8" t="inlineStr">
        <is>
          <t>效果 ×2，对 Boss 再 ×1.5</t>
        </is>
      </c>
      <c r="I81" s="8" t="inlineStr">
        <is>
          <t>Effect ×2, ×1.5 more vs bosses</t>
        </is>
      </c>
      <c r="J81" s="8" t="inlineStr">
        <is>
          <t>Effet ×2, encore ×1,5 contre les boss</t>
        </is>
      </c>
      <c r="K81" s="7" t="inlineStr">
        <is>
          <t>dmg*=2; bossMul*=1.5</t>
        </is>
      </c>
      <c r="L81" s="9">
        <f>SUMIFS($G$3:$G$107,$A$3:$A$107,A81,$B$3:$B$107,B81,$C$3:$C$107,"&lt;="&amp;C81)</f>
        <v/>
      </c>
    </row>
    <row r="82">
      <c r="A82" s="6" t="inlineStr">
        <is>
          <t>sniper</t>
        </is>
      </c>
      <c r="B82" s="6" t="n">
        <v>1</v>
      </c>
      <c r="C82" s="6" t="n">
        <v>5</v>
      </c>
      <c r="D82" s="8" t="inlineStr">
        <is>
          <t>神秘箱轰炸</t>
        </is>
      </c>
      <c r="E82" s="8" t="inlineStr">
        <is>
          <t>Mystery Box Strike</t>
        </is>
      </c>
      <c r="F82" s="8" t="inlineStr">
        <is>
          <t>Frappe Mystery Box</t>
        </is>
      </c>
      <c r="G82" s="7" t="n">
        <v>2000</v>
      </c>
      <c r="H82" s="8" t="inlineStr">
        <is>
          <t>每第 4 次：砸 Boss 额外扣其 15% 体力，砸其他跑者 ×3</t>
        </is>
      </c>
      <c r="I82" s="8" t="inlineStr">
        <is>
          <t>Every 4th drop: bosses lose an extra 15% stamina, others take ×3</t>
        </is>
      </c>
      <c r="J82" s="8" t="inlineStr">
        <is>
          <t>Tous les 4 largages : −15 % d’endurance en plus aux boss, ×3 aux autres</t>
        </is>
      </c>
      <c r="K82" s="7" t="inlineStr">
        <is>
          <t>decap=1</t>
        </is>
      </c>
      <c r="L82" s="9">
        <f>SUMIFS($G$3:$G$107,$A$3:$A$107,A82,$B$3:$B$107,B82,$C$3:$C$107,"&lt;="&amp;C82)</f>
        <v/>
      </c>
    </row>
    <row r="83">
      <c r="A83" s="6" t="inlineStr">
        <is>
          <t>sniper</t>
        </is>
      </c>
      <c r="B83" s="6" t="n">
        <v>2</v>
      </c>
      <c r="C83" s="6" t="n">
        <v>1</v>
      </c>
      <c r="D83" s="8" t="inlineStr">
        <is>
          <t>夜航</t>
        </is>
      </c>
      <c r="E83" s="8" t="inlineStr">
        <is>
          <t>Night Flight</t>
        </is>
      </c>
      <c r="F83" s="8" t="inlineStr">
        <is>
          <t>Vol de nuit</t>
        </is>
      </c>
      <c r="G83" s="7" t="n">
        <v>80</v>
      </c>
      <c r="H83" s="8" t="inlineStr">
        <is>
          <t>暴击率 +20%</t>
        </is>
      </c>
      <c r="I83" s="8" t="inlineStr">
        <is>
          <t>Crit chance +20%</t>
        </is>
      </c>
      <c r="J83" s="8" t="inlineStr">
        <is>
          <t>Critique +20 %</t>
        </is>
      </c>
      <c r="K83" s="7" t="inlineStr">
        <is>
          <t>crit+=0.2</t>
        </is>
      </c>
      <c r="L83" s="9">
        <f>SUMIFS($G$3:$G$107,$A$3:$A$107,A83,$B$3:$B$107,B83,$C$3:$C$107,"&lt;="&amp;C83)</f>
        <v/>
      </c>
    </row>
    <row r="84">
      <c r="A84" s="6" t="inlineStr">
        <is>
          <t>sniper</t>
        </is>
      </c>
      <c r="B84" s="6" t="n">
        <v>2</v>
      </c>
      <c r="C84" s="6" t="n">
        <v>2</v>
      </c>
      <c r="D84" s="8" t="inlineStr">
        <is>
          <t>快速装填</t>
        </is>
      </c>
      <c r="E84" s="8" t="inlineStr">
        <is>
          <t>Fast Reload</t>
        </is>
      </c>
      <c r="F84" s="8" t="inlineStr">
        <is>
          <t>Rechargement rapide</t>
        </is>
      </c>
      <c r="G84" s="7" t="n">
        <v>100</v>
      </c>
      <c r="H84" s="8" t="inlineStr">
        <is>
          <t>出手间隔 −20%</t>
        </is>
      </c>
      <c r="I84" s="8" t="inlineStr">
        <is>
          <t>Interval −20%</t>
        </is>
      </c>
      <c r="J84" s="8" t="inlineStr">
        <is>
          <t>Intervalle −20 %</t>
        </is>
      </c>
      <c r="K84" s="7" t="inlineStr">
        <is>
          <t>rate*=0.8</t>
        </is>
      </c>
      <c r="L84" s="9">
        <f>SUMIFS($G$3:$G$107,$A$3:$A$107,A84,$B$3:$B$107,B84,$C$3:$C$107,"&lt;="&amp;C84)</f>
        <v/>
      </c>
    </row>
    <row r="85">
      <c r="A85" s="6" t="inlineStr">
        <is>
          <t>sniper</t>
        </is>
      </c>
      <c r="B85" s="6" t="n">
        <v>2</v>
      </c>
      <c r="C85" s="6" t="n">
        <v>3</v>
      </c>
      <c r="D85" s="8" t="inlineStr">
        <is>
          <t>双桨无人机</t>
        </is>
      </c>
      <c r="E85" s="8" t="inlineStr">
        <is>
          <t>Twin Rotor</t>
        </is>
      </c>
      <c r="F85" s="8" t="inlineStr">
        <is>
          <t>Double rotor</t>
        </is>
      </c>
      <c r="G85" s="7" t="n">
        <v>300</v>
      </c>
      <c r="H85" s="8" t="inlineStr">
        <is>
          <t>出手间隔减半</t>
        </is>
      </c>
      <c r="I85" s="8" t="inlineStr">
        <is>
          <t>Interval halved</t>
        </is>
      </c>
      <c r="J85" s="8" t="inlineStr">
        <is>
          <t>Intervalle divisé par 2</t>
        </is>
      </c>
      <c r="K85" s="7" t="inlineStr">
        <is>
          <t>rate*=0.5</t>
        </is>
      </c>
      <c r="L85" s="9">
        <f>SUMIFS($G$3:$G$107,$A$3:$A$107,A85,$B$3:$B$107,B85,$C$3:$C$107,"&lt;="&amp;C85)</f>
        <v/>
      </c>
    </row>
    <row r="86">
      <c r="A86" s="6" t="inlineStr">
        <is>
          <t>sniper</t>
        </is>
      </c>
      <c r="B86" s="6" t="n">
        <v>2</v>
      </c>
      <c r="C86" s="6" t="n">
        <v>4</v>
      </c>
      <c r="D86" s="8" t="inlineStr">
        <is>
          <t>无人机群</t>
        </is>
      </c>
      <c r="E86" s="8" t="inlineStr">
        <is>
          <t>Drone Swarm</t>
        </is>
      </c>
      <c r="F86" s="8" t="inlineStr">
        <is>
          <t>Essaim de drones</t>
        </is>
      </c>
      <c r="G86" s="7" t="n">
        <v>650</v>
      </c>
      <c r="H86" s="8" t="inlineStr">
        <is>
          <t>出手间隔 −40%</t>
        </is>
      </c>
      <c r="I86" s="8" t="inlineStr">
        <is>
          <t>Interval −40%</t>
        </is>
      </c>
      <c r="J86" s="8" t="inlineStr">
        <is>
          <t>Intervalle −40 %</t>
        </is>
      </c>
      <c r="K86" s="7" t="inlineStr">
        <is>
          <t>rate*=0.6</t>
        </is>
      </c>
      <c r="L86" s="9">
        <f>SUMIFS($G$3:$G$107,$A$3:$A$107,A86,$B$3:$B$107,B86,$C$3:$C$107,"&lt;="&amp;C86)</f>
        <v/>
      </c>
    </row>
    <row r="87">
      <c r="A87" s="6" t="inlineStr">
        <is>
          <t>sniper</t>
        </is>
      </c>
      <c r="B87" s="6" t="n">
        <v>2</v>
      </c>
      <c r="C87" s="6" t="n">
        <v>5</v>
      </c>
      <c r="D87" s="8" t="inlineStr">
        <is>
          <t>当日达</t>
        </is>
      </c>
      <c r="E87" s="8" t="inlineStr">
        <is>
          <t>Same-day Delivery</t>
        </is>
      </c>
      <c r="F87" s="8" t="inlineStr">
        <is>
          <t>Livraison le jour même</t>
        </is>
      </c>
      <c r="G87" s="7" t="n">
        <v>1900</v>
      </c>
      <c r="H87" s="8" t="inlineStr">
        <is>
          <t>效果 +10，出手间隔再 −30%</t>
        </is>
      </c>
      <c r="I87" s="8" t="inlineStr">
        <is>
          <t>Effect +10, interval −30% more</t>
        </is>
      </c>
      <c r="J87" s="8" t="inlineStr">
        <is>
          <t>Effet +10, intervalle encore −30 %</t>
        </is>
      </c>
      <c r="K87" s="7" t="inlineStr">
        <is>
          <t>dmg+=10; rate*=0.7</t>
        </is>
      </c>
      <c r="L87" s="9">
        <f>SUMIFS($G$3:$G$107,$A$3:$A$107,A87,$B$3:$B$107,B87,$C$3:$C$107,"&lt;="&amp;C87)</f>
        <v/>
      </c>
    </row>
    <row r="88">
      <c r="A88" s="6" t="inlineStr">
        <is>
          <t>sniper</t>
        </is>
      </c>
      <c r="B88" s="6" t="n">
        <v>3</v>
      </c>
      <c r="C88" s="6" t="n">
        <v>1</v>
      </c>
      <c r="D88" s="8" t="inlineStr">
        <is>
          <t>震地</t>
        </is>
      </c>
      <c r="E88" s="8" t="inlineStr">
        <is>
          <t>Ground Shake</t>
        </is>
      </c>
      <c r="F88" s="8" t="inlineStr">
        <is>
          <t>Secousse</t>
        </is>
      </c>
      <c r="G88" s="7" t="n">
        <v>90</v>
      </c>
      <c r="H88" s="8" t="inlineStr">
        <is>
          <t>鞋盒落地震晕 0.4 秒</t>
        </is>
      </c>
      <c r="I88" s="8" t="inlineStr">
        <is>
          <t>Box impact stuns for 0.4 s</t>
        </is>
      </c>
      <c r="J88" s="8" t="inlineStr">
        <is>
          <t>L’impact sonne 0,4 s</t>
        </is>
      </c>
      <c r="K88" s="7" t="inlineStr">
        <is>
          <t>stun=0.4</t>
        </is>
      </c>
      <c r="L88" s="9">
        <f>SUMIFS($G$3:$G$107,$A$3:$A$107,A88,$B$3:$B$107,B88,$C$3:$C$107,"&lt;="&amp;C88)</f>
        <v/>
      </c>
    </row>
    <row r="89">
      <c r="A89" s="6" t="inlineStr">
        <is>
          <t>sniper</t>
        </is>
      </c>
      <c r="B89" s="6" t="n">
        <v>3</v>
      </c>
      <c r="C89" s="6" t="n">
        <v>2</v>
      </c>
      <c r="D89" s="8" t="inlineStr">
        <is>
          <t>弹跳鞋盒</t>
        </is>
      </c>
      <c r="E89" s="8" t="inlineStr">
        <is>
          <t>Bouncing Box</t>
        </is>
      </c>
      <c r="F89" s="8" t="inlineStr">
        <is>
          <t>Boîte rebondissante</t>
        </is>
      </c>
      <c r="G89" s="7" t="n">
        <v>150</v>
      </c>
      <c r="H89" s="8" t="inlineStr">
        <is>
          <t>鞋盒弹跳再砸 2 名跑者，50% 效果</t>
        </is>
      </c>
      <c r="I89" s="8" t="inlineStr">
        <is>
          <t>Box bounces to 2 more runners at 50%</t>
        </is>
      </c>
      <c r="J89" s="8" t="inlineStr">
        <is>
          <t>La boîte rebondit sur 2 coureurs de plus à 50 %</t>
        </is>
      </c>
      <c r="K89" s="7" t="inlineStr">
        <is>
          <t>ricochet=2</t>
        </is>
      </c>
      <c r="L89" s="9">
        <f>SUMIFS($G$3:$G$107,$A$3:$A$107,A89,$B$3:$B$107,B89,$C$3:$C$107,"&lt;="&amp;C89)</f>
        <v/>
      </c>
    </row>
    <row r="90">
      <c r="A90" s="6" t="inlineStr">
        <is>
          <t>sniper</t>
        </is>
      </c>
      <c r="B90" s="6" t="n">
        <v>3</v>
      </c>
      <c r="C90" s="6" t="n">
        <v>3</v>
      </c>
      <c r="D90" s="8" t="inlineStr">
        <is>
          <t>GST 补给</t>
        </is>
      </c>
      <c r="E90" s="8" t="inlineStr">
        <is>
          <t>GST Supply</t>
        </is>
      </c>
      <c r="F90" s="8" t="inlineStr">
        <is>
          <t>Ravitaillement GST</t>
        </is>
      </c>
      <c r="G90" s="7" t="n">
        <v>360</v>
      </c>
      <c r="H90" s="8" t="inlineStr">
        <is>
          <t>每波结束 +40 GST</t>
        </is>
      </c>
      <c r="I90" s="8" t="inlineStr">
        <is>
          <t>+40 GST after each wave</t>
        </is>
      </c>
      <c r="J90" s="8" t="inlineStr">
        <is>
          <t>+40 GST après chaque vague</t>
        </is>
      </c>
      <c r="K90" s="7" t="inlineStr">
        <is>
          <t>gpw=40</t>
        </is>
      </c>
      <c r="L90" s="9">
        <f>SUMIFS($G$3:$G$107,$A$3:$A$107,A90,$B$3:$B$107,B90,$C$3:$C$107,"&lt;="&amp;C90)</f>
        <v/>
      </c>
    </row>
    <row r="91">
      <c r="A91" s="6" t="inlineStr">
        <is>
          <t>sniper</t>
        </is>
      </c>
      <c r="B91" s="6" t="n">
        <v>3</v>
      </c>
      <c r="C91" s="6" t="n">
        <v>4</v>
      </c>
      <c r="D91" s="8" t="inlineStr">
        <is>
          <t>GST 空投</t>
        </is>
      </c>
      <c r="E91" s="8" t="inlineStr">
        <is>
          <t>GST Airdrop</t>
        </is>
      </c>
      <c r="F91" s="8" t="inlineStr">
        <is>
          <t>Airdrop GST</t>
        </is>
      </c>
      <c r="G91" s="7" t="n">
        <v>700</v>
      </c>
      <c r="H91" s="8" t="inlineStr">
        <is>
          <t>每波结束 +100 GST</t>
        </is>
      </c>
      <c r="I91" s="8" t="inlineStr">
        <is>
          <t>+100 GST after each wave</t>
        </is>
      </c>
      <c r="J91" s="8" t="inlineStr">
        <is>
          <t>+100 GST après chaque vague</t>
        </is>
      </c>
      <c r="K91" s="7" t="inlineStr">
        <is>
          <t>gpw=100</t>
        </is>
      </c>
      <c r="L91" s="9">
        <f>SUMIFS($G$3:$G$107,$A$3:$A$107,A91,$B$3:$B$107,B91,$C$3:$C$107,"&lt;="&amp;C91)</f>
        <v/>
      </c>
    </row>
    <row r="92">
      <c r="A92" s="6" t="inlineStr">
        <is>
          <t>sniper</t>
        </is>
      </c>
      <c r="B92" s="6" t="n">
        <v>3</v>
      </c>
      <c r="C92" s="6" t="n">
        <v>5</v>
      </c>
      <c r="D92" s="8" t="inlineStr">
        <is>
          <t>空中支援</t>
        </is>
      </c>
      <c r="E92" s="8" t="inlineStr">
        <is>
          <t>Air Support</t>
        </is>
      </c>
      <c r="F92" s="8" t="inlineStr">
        <is>
          <t>Soutien aérien</t>
        </is>
      </c>
      <c r="G92" s="7" t="n">
        <v>1500</v>
      </c>
      <c r="H92" s="8" t="inlineStr">
        <is>
          <t>全场所有装置效果 +15%</t>
        </is>
      </c>
      <c r="I92" s="8" t="inlineStr">
        <is>
          <t>All devices +15% effect</t>
        </is>
      </c>
      <c r="J92" s="8" t="inlineStr">
        <is>
          <t>Tous les dispositifs +15 % d’effet</t>
        </is>
      </c>
      <c r="K92" s="7" t="inlineStr">
        <is>
          <t>globalDmg=0.15</t>
        </is>
      </c>
      <c r="L92" s="9">
        <f>SUMIFS($G$3:$G$107,$A$3:$A$107,A92,$B$3:$B$107,B92,$C$3:$C$107,"&lt;="&amp;C92)</f>
        <v/>
      </c>
    </row>
    <row r="93">
      <c r="A93" s="6" t="inlineStr">
        <is>
          <t>tesla</t>
        </is>
      </c>
      <c r="B93" s="6" t="n">
        <v>1</v>
      </c>
      <c r="C93" s="6" t="n">
        <v>1</v>
      </c>
      <c r="D93" s="8" t="inlineStr">
        <is>
          <t>小音箱</t>
        </is>
      </c>
      <c r="E93" s="8" t="inlineStr">
        <is>
          <t>Mini Speaker</t>
        </is>
      </c>
      <c r="F93" s="8" t="inlineStr">
        <is>
          <t>Mini enceinte</t>
        </is>
      </c>
      <c r="G93" s="7" t="n">
        <v>50</v>
      </c>
      <c r="H93" s="8" t="inlineStr">
        <is>
          <t>多传 1 人</t>
        </is>
      </c>
      <c r="I93" s="8" t="inlineStr">
        <is>
          <t>Chains 1 more</t>
        </is>
      </c>
      <c r="J93" s="8" t="inlineStr">
        <is>
          <t>1 de plus en chaîne</t>
        </is>
      </c>
      <c r="K93" s="7" t="inlineStr">
        <is>
          <t>chain+=1</t>
        </is>
      </c>
      <c r="L93" s="9">
        <f>SUMIFS($G$3:$G$107,$A$3:$A$107,A93,$B$3:$B$107,B93,$C$3:$C$107,"&lt;="&amp;C93)</f>
        <v/>
      </c>
    </row>
    <row r="94">
      <c r="A94" s="6" t="inlineStr">
        <is>
          <t>tesla</t>
        </is>
      </c>
      <c r="B94" s="6" t="n">
        <v>1</v>
      </c>
      <c r="C94" s="6" t="n">
        <v>2</v>
      </c>
      <c r="D94" s="8" t="inlineStr">
        <is>
          <t>蓝牙串联</t>
        </is>
      </c>
      <c r="E94" s="8" t="inlineStr">
        <is>
          <t>Bluetooth Link</t>
        </is>
      </c>
      <c r="F94" s="8" t="inlineStr">
        <is>
          <t>Liaison Bluetooth</t>
        </is>
      </c>
      <c r="G94" s="7" t="n">
        <v>90</v>
      </c>
      <c r="H94" s="8" t="inlineStr">
        <is>
          <t>多传 2 人</t>
        </is>
      </c>
      <c r="I94" s="8" t="inlineStr">
        <is>
          <t>Chains 2 more</t>
        </is>
      </c>
      <c r="J94" s="8" t="inlineStr">
        <is>
          <t>2 de plus en chaîne</t>
        </is>
      </c>
      <c r="K94" s="7" t="inlineStr">
        <is>
          <t>chain+=2</t>
        </is>
      </c>
      <c r="L94" s="9">
        <f>SUMIFS($G$3:$G$107,$A$3:$A$107,A94,$B$3:$B$107,B94,$C$3:$C$107,"&lt;="&amp;C94)</f>
        <v/>
      </c>
    </row>
    <row r="95">
      <c r="A95" s="6" t="inlineStr">
        <is>
          <t>tesla</t>
        </is>
      </c>
      <c r="B95" s="6" t="n">
        <v>1</v>
      </c>
      <c r="C95" s="6" t="n">
        <v>3</v>
      </c>
      <c r="D95" s="8" t="inlineStr">
        <is>
          <t>无损音质</t>
        </is>
      </c>
      <c r="E95" s="8" t="inlineStr">
        <is>
          <t>Lossless Audio</t>
        </is>
      </c>
      <c r="F95" s="8" t="inlineStr">
        <is>
          <t>Son sans perte</t>
        </is>
      </c>
      <c r="G95" s="7" t="n">
        <v>320</v>
      </c>
      <c r="H95" s="8" t="inlineStr">
        <is>
          <t>多传 3 人，传播不衰减</t>
        </is>
      </c>
      <c r="I95" s="8" t="inlineStr">
        <is>
          <t>Chains 3 more, no falloff</t>
        </is>
      </c>
      <c r="J95" s="8" t="inlineStr">
        <is>
          <t>3 de plus en chaîne, sans atténuation</t>
        </is>
      </c>
      <c r="K95" s="7" t="inlineStr">
        <is>
          <t>chain+=3; decay=1</t>
        </is>
      </c>
      <c r="L95" s="9">
        <f>SUMIFS($G$3:$G$107,$A$3:$A$107,A95,$B$3:$B$107,B95,$C$3:$C$107,"&lt;="&amp;C95)</f>
        <v/>
      </c>
    </row>
    <row r="96">
      <c r="A96" s="6" t="inlineStr">
        <is>
          <t>tesla</t>
        </is>
      </c>
      <c r="B96" s="6" t="n">
        <v>1</v>
      </c>
      <c r="C96" s="6" t="n">
        <v>4</v>
      </c>
      <c r="D96" s="8" t="inlineStr">
        <is>
          <t>双声道</t>
        </is>
      </c>
      <c r="E96" s="8" t="inlineStr">
        <is>
          <t>Stereo</t>
        </is>
      </c>
      <c r="F96" s="8" t="inlineStr">
        <is>
          <t>Stéréo</t>
        </is>
      </c>
      <c r="G96" s="7" t="n">
        <v>750</v>
      </c>
      <c r="H96" s="8" t="inlineStr">
        <is>
          <t>同时放两首</t>
        </is>
      </c>
      <c r="I96" s="8" t="inlineStr">
        <is>
          <t>Plays two songs at once</t>
        </is>
      </c>
      <c r="J96" s="8" t="inlineStr">
        <is>
          <t>Joue deux morceaux à la fois</t>
        </is>
      </c>
      <c r="K96" s="7" t="inlineStr">
        <is>
          <t>starts=2</t>
        </is>
      </c>
      <c r="L96" s="9">
        <f>SUMIFS($G$3:$G$107,$A$3:$A$107,A96,$B$3:$B$107,B96,$C$3:$C$107,"&lt;="&amp;C96)</f>
        <v/>
      </c>
    </row>
    <row r="97">
      <c r="A97" s="6" t="inlineStr">
        <is>
          <t>tesla</t>
        </is>
      </c>
      <c r="B97" s="6" t="n">
        <v>1</v>
      </c>
      <c r="C97" s="6" t="n">
        <v>5</v>
      </c>
      <c r="D97" s="8" t="inlineStr">
        <is>
          <t>全城广场舞</t>
        </is>
      </c>
      <c r="E97" s="8" t="inlineStr">
        <is>
          <t>Citywide Dance</t>
        </is>
      </c>
      <c r="F97" s="8" t="inlineStr">
        <is>
          <t>Danse dans toute la ville</t>
        </is>
      </c>
      <c r="G97" s="7" t="n">
        <v>1700</v>
      </c>
      <c r="H97" s="8" t="inlineStr">
        <is>
          <t>多传 10 人，效果 +6</t>
        </is>
      </c>
      <c r="I97" s="8" t="inlineStr">
        <is>
          <t>Chains 10 more, effect +6</t>
        </is>
      </c>
      <c r="J97" s="8" t="inlineStr">
        <is>
          <t>10 de plus en chaîne, effet +6</t>
        </is>
      </c>
      <c r="K97" s="7" t="inlineStr">
        <is>
          <t>chain+=10; dmg+=6</t>
        </is>
      </c>
      <c r="L97" s="9">
        <f>SUMIFS($G$3:$G$107,$A$3:$A$107,A97,$B$3:$B$107,B97,$C$3:$C$107,"&lt;="&amp;C97)</f>
        <v/>
      </c>
    </row>
    <row r="98">
      <c r="A98" s="6" t="inlineStr">
        <is>
          <t>tesla</t>
        </is>
      </c>
      <c r="B98" s="6" t="n">
        <v>2</v>
      </c>
      <c r="C98" s="6" t="n">
        <v>1</v>
      </c>
      <c r="D98" s="8" t="inlineStr">
        <is>
          <t>低音炮</t>
        </is>
      </c>
      <c r="E98" s="8" t="inlineStr">
        <is>
          <t>Subwoofer</t>
        </is>
      </c>
      <c r="F98" s="8" t="inlineStr">
        <is>
          <t>Caisson de basses</t>
        </is>
      </c>
      <c r="G98" s="7" t="n">
        <v>90</v>
      </c>
      <c r="H98" s="8" t="inlineStr">
        <is>
          <t>效果 +1.5</t>
        </is>
      </c>
      <c r="I98" s="8" t="inlineStr">
        <is>
          <t>Effect +1.5</t>
        </is>
      </c>
      <c r="J98" s="8" t="inlineStr">
        <is>
          <t>Effet +1,5</t>
        </is>
      </c>
      <c r="K98" s="7" t="inlineStr">
        <is>
          <t>dmg+=1.5</t>
        </is>
      </c>
      <c r="L98" s="9">
        <f>SUMIFS($G$3:$G$107,$A$3:$A$107,A98,$B$3:$B$107,B98,$C$3:$C$107,"&lt;="&amp;C98)</f>
        <v/>
      </c>
    </row>
    <row r="99">
      <c r="A99" s="6" t="inlineStr">
        <is>
          <t>tesla</t>
        </is>
      </c>
      <c r="B99" s="6" t="n">
        <v>2</v>
      </c>
      <c r="C99" s="6" t="n">
        <v>2</v>
      </c>
      <c r="D99" s="8" t="inlineStr">
        <is>
          <t>大功率</t>
        </is>
      </c>
      <c r="E99" s="8" t="inlineStr">
        <is>
          <t>High Wattage</t>
        </is>
      </c>
      <c r="F99" s="8" t="inlineStr">
        <is>
          <t>Haute puissance</t>
        </is>
      </c>
      <c r="G99" s="7" t="n">
        <v>150</v>
      </c>
      <c r="H99" s="8" t="inlineStr">
        <is>
          <t>效果 +2</t>
        </is>
      </c>
      <c r="I99" s="8" t="inlineStr">
        <is>
          <t>Effect +2</t>
        </is>
      </c>
      <c r="J99" s="8" t="inlineStr">
        <is>
          <t>Effet +2</t>
        </is>
      </c>
      <c r="K99" s="7" t="inlineStr">
        <is>
          <t>dmg+=2</t>
        </is>
      </c>
      <c r="L99" s="9">
        <f>SUMIFS($G$3:$G$107,$A$3:$A$107,A99,$B$3:$B$107,B99,$C$3:$C$107,"&lt;="&amp;C99)</f>
        <v/>
      </c>
    </row>
    <row r="100">
      <c r="A100" s="6" t="inlineStr">
        <is>
          <t>tesla</t>
        </is>
      </c>
      <c r="B100" s="6" t="n">
        <v>2</v>
      </c>
      <c r="C100" s="6" t="n">
        <v>3</v>
      </c>
      <c r="D100" s="8" t="inlineStr">
        <is>
          <t>重低音</t>
        </is>
      </c>
      <c r="E100" s="8" t="inlineStr">
        <is>
          <t>Heavy Bass</t>
        </is>
      </c>
      <c r="F100" s="8" t="inlineStr">
        <is>
          <t>Basses lourdes</t>
        </is>
      </c>
      <c r="G100" s="7" t="n">
        <v>380</v>
      </c>
      <c r="H100" s="8" t="inlineStr">
        <is>
          <t>每第 4 首效果 ×3</t>
        </is>
      </c>
      <c r="I100" s="8" t="inlineStr">
        <is>
          <t>Every 4th song ×3</t>
        </is>
      </c>
      <c r="J100" s="8" t="inlineStr">
        <is>
          <t>Un morceau sur 4 ×3</t>
        </is>
      </c>
      <c r="K100" s="7" t="inlineStr">
        <is>
          <t>overN=4; overMul=3</t>
        </is>
      </c>
      <c r="L100" s="9">
        <f>SUMIFS($G$3:$G$107,$A$3:$A$107,A100,$B$3:$B$107,B100,$C$3:$C$107,"&lt;="&amp;C100)</f>
        <v/>
      </c>
    </row>
    <row r="101">
      <c r="A101" s="6" t="inlineStr">
        <is>
          <t>tesla</t>
        </is>
      </c>
      <c r="B101" s="6" t="n">
        <v>2</v>
      </c>
      <c r="C101" s="6" t="n">
        <v>4</v>
      </c>
      <c r="D101" s="8" t="inlineStr">
        <is>
          <t>炸街</t>
        </is>
      </c>
      <c r="E101" s="8" t="inlineStr">
        <is>
          <t>Street Blaster</t>
        </is>
      </c>
      <c r="F101" s="8" t="inlineStr">
        <is>
          <t>Sono de rue</t>
        </is>
      </c>
      <c r="G101" s="7" t="n">
        <v>800</v>
      </c>
      <c r="H101" s="8" t="inlineStr">
        <is>
          <t>效果 ×2</t>
        </is>
      </c>
      <c r="I101" s="8" t="inlineStr">
        <is>
          <t>Effect ×2</t>
        </is>
      </c>
      <c r="J101" s="8" t="inlineStr">
        <is>
          <t>Effet ×2</t>
        </is>
      </c>
      <c r="K101" s="7" t="inlineStr">
        <is>
          <t>dmg*=2</t>
        </is>
      </c>
      <c r="L101" s="9">
        <f>SUMIFS($G$3:$G$107,$A$3:$A$107,A101,$B$3:$B$107,B101,$C$3:$C$107,"&lt;="&amp;C101)</f>
        <v/>
      </c>
    </row>
    <row r="102">
      <c r="A102" s="6" t="inlineStr">
        <is>
          <t>tesla</t>
        </is>
      </c>
      <c r="B102" s="6" t="n">
        <v>2</v>
      </c>
      <c r="C102" s="6" t="n">
        <v>5</v>
      </c>
      <c r="D102" s="8" t="inlineStr">
        <is>
          <t>地动山摇</t>
        </is>
      </c>
      <c r="E102" s="8" t="inlineStr">
        <is>
          <t>Earthquake Bass</t>
        </is>
      </c>
      <c r="F102" s="8" t="inlineStr">
        <is>
          <t>Basses sismiques</t>
        </is>
      </c>
      <c r="G102" s="7" t="n">
        <v>1500</v>
      </c>
      <c r="H102" s="8" t="inlineStr">
        <is>
          <t>重低音效果 ×8</t>
        </is>
      </c>
      <c r="I102" s="8" t="inlineStr">
        <is>
          <t>Heavy bass hits ×8</t>
        </is>
      </c>
      <c r="J102" s="8" t="inlineStr">
        <is>
          <t>Basses lourdes ×8</t>
        </is>
      </c>
      <c r="K102" s="7" t="inlineStr">
        <is>
          <t>overN=4; overMul=8</t>
        </is>
      </c>
      <c r="L102" s="9">
        <f>SUMIFS($G$3:$G$107,$A$3:$A$107,A102,$B$3:$B$107,B102,$C$3:$C$107,"&lt;="&amp;C102)</f>
        <v/>
      </c>
    </row>
    <row r="103">
      <c r="A103" s="6" t="inlineStr">
        <is>
          <t>tesla</t>
        </is>
      </c>
      <c r="B103" s="6" t="n">
        <v>3</v>
      </c>
      <c r="C103" s="6" t="n">
        <v>1</v>
      </c>
      <c r="D103" s="8" t="inlineStr">
        <is>
          <t>扩音</t>
        </is>
      </c>
      <c r="E103" s="8" t="inlineStr">
        <is>
          <t>Amplifier</t>
        </is>
      </c>
      <c r="F103" s="8" t="inlineStr">
        <is>
          <t>Amplificateur</t>
        </is>
      </c>
      <c r="G103" s="7" t="n">
        <v>70</v>
      </c>
      <c r="H103" s="8" t="inlineStr">
        <is>
          <t>射程 +20</t>
        </is>
      </c>
      <c r="I103" s="8" t="inlineStr">
        <is>
          <t>Range +20</t>
        </is>
      </c>
      <c r="J103" s="8" t="inlineStr">
        <is>
          <t>Portée +20</t>
        </is>
      </c>
      <c r="K103" s="7" t="inlineStr">
        <is>
          <t>range+=20</t>
        </is>
      </c>
      <c r="L103" s="9">
        <f>SUMIFS($G$3:$G$107,$A$3:$A$107,A103,$B$3:$B$107,B103,$C$3:$C$107,"&lt;="&amp;C103)</f>
        <v/>
      </c>
    </row>
    <row r="104">
      <c r="A104" s="6" t="inlineStr">
        <is>
          <t>tesla</t>
        </is>
      </c>
      <c r="B104" s="6" t="n">
        <v>3</v>
      </c>
      <c r="C104" s="6" t="n">
        <v>2</v>
      </c>
      <c r="D104" s="8" t="inlineStr">
        <is>
          <t>跟着跳</t>
        </is>
      </c>
      <c r="E104" s="8" t="inlineStr">
        <is>
          <t>Dance Along</t>
        </is>
      </c>
      <c r="F104" s="8" t="inlineStr">
        <is>
          <t>Danse avec moi</t>
        </is>
      </c>
      <c r="G104" s="7" t="n">
        <v>130</v>
      </c>
      <c r="H104" s="8" t="inlineStr">
        <is>
          <t>听到的跑者停下来跳 0.25 秒</t>
        </is>
      </c>
      <c r="I104" s="8" t="inlineStr">
        <is>
          <t>Runners stop to dance for 0.25 s</t>
        </is>
      </c>
      <c r="J104" s="8" t="inlineStr">
        <is>
          <t>Les coureurs s’arrêtent pour danser 0,25 s</t>
        </is>
      </c>
      <c r="K104" s="7" t="inlineStr">
        <is>
          <t>stun=0.25</t>
        </is>
      </c>
      <c r="L104" s="9">
        <f>SUMIFS($G$3:$G$107,$A$3:$A$107,A104,$B$3:$B$107,B104,$C$3:$C$107,"&lt;="&amp;C104)</f>
        <v/>
      </c>
    </row>
    <row r="105">
      <c r="A105" s="6" t="inlineStr">
        <is>
          <t>tesla</t>
        </is>
      </c>
      <c r="B105" s="6" t="n">
        <v>3</v>
      </c>
      <c r="C105" s="6" t="n">
        <v>3</v>
      </c>
      <c r="D105" s="8" t="inlineStr">
        <is>
          <t>震碎能量盾</t>
        </is>
      </c>
      <c r="E105" s="8" t="inlineStr">
        <is>
          <t>Shield Shatter</t>
        </is>
      </c>
      <c r="F105" s="8" t="inlineStr">
        <is>
          <t>Brise-bouclier</t>
        </is>
      </c>
      <c r="G105" s="7" t="n">
        <v>330</v>
      </c>
      <c r="H105" s="8" t="inlineStr">
        <is>
          <t>对能量盾效果 ×3</t>
        </is>
      </c>
      <c r="I105" s="8" t="inlineStr">
        <is>
          <t>×3 vs energy shields</t>
        </is>
      </c>
      <c r="J105" s="8" t="inlineStr">
        <is>
          <t>Effet ×3 contre les boucliers</t>
        </is>
      </c>
      <c r="K105" s="7" t="inlineStr">
        <is>
          <t>shieldMul=3</t>
        </is>
      </c>
      <c r="L105" s="9">
        <f>SUMIFS($G$3:$G$107,$A$3:$A$107,A105,$B$3:$B$107,B105,$C$3:$C$107,"&lt;="&amp;C105)</f>
        <v/>
      </c>
    </row>
    <row r="106">
      <c r="A106" s="6" t="inlineStr">
        <is>
          <t>tesla</t>
        </is>
      </c>
      <c r="B106" s="6" t="n">
        <v>3</v>
      </c>
      <c r="C106" s="6" t="n">
        <v>4</v>
      </c>
      <c r="D106" s="8" t="inlineStr">
        <is>
          <t>魔性旋律</t>
        </is>
      </c>
      <c r="E106" s="8" t="inlineStr">
        <is>
          <t>Catchy Loop</t>
        </is>
      </c>
      <c r="F106" s="8" t="inlineStr">
        <is>
          <t>Mélodie obsédante</t>
        </is>
      </c>
      <c r="G106" s="7" t="n">
        <v>700</v>
      </c>
      <c r="H106" s="8" t="inlineStr">
        <is>
          <t>射程内跑者每秒持续受 3 点效果</t>
        </is>
      </c>
      <c r="I106" s="8" t="inlineStr">
        <is>
          <t>Runners in range take 3 per second</t>
        </is>
      </c>
      <c r="J106" s="8" t="inlineStr">
        <is>
          <t>Les coureurs à portée subissent 3 par seconde</t>
        </is>
      </c>
      <c r="K106" s="7" t="inlineStr">
        <is>
          <t>staticDps=3</t>
        </is>
      </c>
      <c r="L106" s="9">
        <f>SUMIFS($G$3:$G$107,$A$3:$A$107,A106,$B$3:$B$107,B106,$C$3:$C$107,"&lt;="&amp;C106)</f>
        <v/>
      </c>
    </row>
    <row r="107">
      <c r="A107" s="6" t="inlineStr">
        <is>
          <t>tesla</t>
        </is>
      </c>
      <c r="B107" s="6" t="n">
        <v>3</v>
      </c>
      <c r="C107" s="6" t="n">
        <v>5</v>
      </c>
      <c r="D107" s="8" t="inlineStr">
        <is>
          <t>广场舞女王</t>
        </is>
      </c>
      <c r="E107" s="8" t="inlineStr">
        <is>
          <t>Dance Floor Queen</t>
        </is>
      </c>
      <c r="F107" s="8" t="inlineStr">
        <is>
          <t>Reine de la piste</t>
        </is>
      </c>
      <c r="G107" s="7" t="n">
        <v>1600</v>
      </c>
      <c r="H107" s="8" t="inlineStr">
        <is>
          <t>出手间隔 −30%，多传 3 人</t>
        </is>
      </c>
      <c r="I107" s="8" t="inlineStr">
        <is>
          <t>Interval −30%, chains 3 more</t>
        </is>
      </c>
      <c r="J107" s="8" t="inlineStr">
        <is>
          <t>Intervalle −30 %, 3 de plus en chaîne</t>
        </is>
      </c>
      <c r="K107" s="7" t="inlineStr">
        <is>
          <t>rate*=0.7; chain+=3</t>
        </is>
      </c>
      <c r="L107" s="9">
        <f>SUMIFS($G$3:$G$107,$A$3:$A$107,A107,$B$3:$B$107,B107,$C$3:$C$107,"&lt;="&amp;C107)</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0" customWidth="1" min="3" max="3"/>
    <col width="22" customWidth="1" min="4" max="4"/>
    <col width="10" customWidth="1" min="5" max="5"/>
    <col width="10" customWidth="1" min="6" max="6"/>
    <col width="10" customWidth="1" min="7" max="7"/>
    <col width="10" customWidth="1" min="8" max="8"/>
    <col width="12" customWidth="1" min="9" max="9"/>
  </cols>
  <sheetData>
    <row r="1" ht="30" customHeight="1">
      <c r="A1" s="4" t="inlineStr">
        <is>
          <t>id</t>
        </is>
      </c>
      <c r="B1" s="4" t="inlineStr">
        <is>
          <t>名称（中文）</t>
        </is>
      </c>
      <c r="C1" s="4" t="inlineStr">
        <is>
          <t>名称（English）</t>
        </is>
      </c>
      <c r="D1" s="4" t="inlineStr">
        <is>
          <t>名称（Français）</t>
        </is>
      </c>
      <c r="E1" s="4" t="inlineStr">
        <is>
          <t>体型半径</t>
        </is>
      </c>
      <c r="F1" s="4" t="inlineStr">
        <is>
          <t>移速</t>
        </is>
      </c>
      <c r="G1" s="4" t="inlineStr">
        <is>
          <t>劝退 GST</t>
        </is>
      </c>
      <c r="H1" s="4" t="inlineStr">
        <is>
          <t>计分权重</t>
        </is>
      </c>
      <c r="I1" s="4" t="inlineStr">
        <is>
          <t>漏过扣能量</t>
        </is>
      </c>
    </row>
    <row r="2">
      <c r="A2" s="5" t="inlineStr">
        <is>
          <t>id</t>
        </is>
      </c>
      <c r="B2" s="5" t="inlineStr">
        <is>
          <t>name_zh</t>
        </is>
      </c>
      <c r="C2" s="5" t="inlineStr">
        <is>
          <t>name_en</t>
        </is>
      </c>
      <c r="D2" s="5" t="inlineStr">
        <is>
          <t>name_fr</t>
        </is>
      </c>
      <c r="E2" s="5" t="inlineStr">
        <is>
          <t>radius</t>
        </is>
      </c>
      <c r="F2" s="5" t="inlineStr">
        <is>
          <t>speed</t>
        </is>
      </c>
      <c r="G2" s="5" t="inlineStr">
        <is>
          <t>gold</t>
        </is>
      </c>
      <c r="H2" s="5" t="inlineStr">
        <is>
          <t>value</t>
        </is>
      </c>
      <c r="I2" s="5" t="inlineStr">
        <is>
          <t>leak</t>
        </is>
      </c>
    </row>
    <row r="3">
      <c r="A3" s="6" t="inlineStr">
        <is>
          <t>norm</t>
        </is>
      </c>
      <c r="B3" s="8" t="inlineStr">
        <is>
          <t>慢跑者</t>
        </is>
      </c>
      <c r="C3" s="8" t="inlineStr">
        <is>
          <t>Jogger</t>
        </is>
      </c>
      <c r="D3" s="8" t="inlineStr">
        <is>
          <t>Joggeur</t>
        </is>
      </c>
      <c r="E3" s="7" t="n">
        <v>9</v>
      </c>
      <c r="F3" s="7" t="n">
        <v>55</v>
      </c>
      <c r="G3" s="7" t="n">
        <v>6</v>
      </c>
      <c r="H3" s="7" t="n">
        <v>1</v>
      </c>
      <c r="I3" s="7" t="n">
        <v>1</v>
      </c>
    </row>
    <row r="4">
      <c r="A4" s="6" t="inlineStr">
        <is>
          <t>arm</t>
        </is>
      </c>
      <c r="B4" s="8" t="inlineStr">
        <is>
          <t>耐力跑者</t>
        </is>
      </c>
      <c r="C4" s="8" t="inlineStr">
        <is>
          <t>Endurance runner</t>
        </is>
      </c>
      <c r="D4" s="8" t="inlineStr">
        <is>
          <t>Coureur endurant</t>
        </is>
      </c>
      <c r="E4" s="7" t="n">
        <v>11</v>
      </c>
      <c r="F4" s="7" t="n">
        <v>42</v>
      </c>
      <c r="G4" s="7" t="n">
        <v>12</v>
      </c>
      <c r="H4" s="7" t="n">
        <v>2</v>
      </c>
      <c r="I4" s="7" t="n">
        <v>2</v>
      </c>
    </row>
    <row r="5">
      <c r="A5" s="6" t="inlineStr">
        <is>
          <t>boss</t>
        </is>
      </c>
      <c r="B5" s="8" t="inlineStr">
        <is>
          <t>传奇跑者</t>
        </is>
      </c>
      <c r="C5" s="8" t="inlineStr">
        <is>
          <t>Legendary runner</t>
        </is>
      </c>
      <c r="D5" s="8" t="inlineStr">
        <is>
          <t>Coureur légendaire</t>
        </is>
      </c>
      <c r="E5" s="7" t="n">
        <v>22</v>
      </c>
      <c r="F5" s="7" t="n">
        <v>26</v>
      </c>
      <c r="G5" s="7" t="n">
        <v>80</v>
      </c>
      <c r="H5" s="7" t="n">
        <v>15</v>
      </c>
      <c r="I5" s="7" t="n">
        <v>10</v>
      </c>
    </row>
    <row r="6">
      <c r="A6" s="6" t="inlineStr">
        <is>
          <t>rain</t>
        </is>
      </c>
      <c r="B6" s="8" t="inlineStr">
        <is>
          <t>雨衣跑者</t>
        </is>
      </c>
      <c r="C6" s="8" t="inlineStr">
        <is>
          <t>Raincoat Runner</t>
        </is>
      </c>
      <c r="D6" s="8" t="inlineStr">
        <is>
          <t>Coureur en ciré</t>
        </is>
      </c>
      <c r="E6" s="7" t="n">
        <v>9</v>
      </c>
      <c r="F6" s="7" t="n">
        <v>52</v>
      </c>
      <c r="G6" s="7" t="n">
        <v>8</v>
      </c>
      <c r="H6" s="7" t="n">
        <v>1</v>
      </c>
      <c r="I6" s="7" t="n">
        <v>1</v>
      </c>
    </row>
    <row r="7">
      <c r="A7" s="6" t="inlineStr">
        <is>
          <t>hop</t>
        </is>
      </c>
      <c r="B7" s="8" t="inlineStr">
        <is>
          <t>弹簧鞋跑者</t>
        </is>
      </c>
      <c r="C7" s="8" t="inlineStr">
        <is>
          <t>Spring-Shoe Runner</t>
        </is>
      </c>
      <c r="D7" s="8" t="inlineStr">
        <is>
          <t>Coureur à ressorts</t>
        </is>
      </c>
      <c r="E7" s="7" t="n">
        <v>9</v>
      </c>
      <c r="F7" s="7" t="n">
        <v>62</v>
      </c>
      <c r="G7" s="7" t="n">
        <v>8</v>
      </c>
      <c r="H7" s="7" t="n">
        <v>1</v>
      </c>
      <c r="I7" s="7" t="n">
        <v>1</v>
      </c>
    </row>
    <row r="8">
      <c r="A8" s="6" t="inlineStr">
        <is>
          <t>phones</t>
        </is>
      </c>
      <c r="B8" s="8" t="inlineStr">
        <is>
          <t>降噪耳机跑者</t>
        </is>
      </c>
      <c r="C8" s="8" t="inlineStr">
        <is>
          <t>Headphones Runner</t>
        </is>
      </c>
      <c r="D8" s="8" t="inlineStr">
        <is>
          <t>Coureur au casque</t>
        </is>
      </c>
      <c r="E8" s="7" t="n">
        <v>9</v>
      </c>
      <c r="F8" s="7" t="n">
        <v>55</v>
      </c>
      <c r="G8" s="7" t="n">
        <v>8</v>
      </c>
      <c r="H8" s="7" t="n">
        <v>1</v>
      </c>
      <c r="I8" s="7" t="n">
        <v>1</v>
      </c>
    </row>
    <row r="9">
      <c r="A9" s="6" t="inlineStr">
        <is>
          <t>whale</t>
        </is>
      </c>
      <c r="B9" s="8" t="inlineStr">
        <is>
          <t>巨鲸</t>
        </is>
      </c>
      <c r="C9" s="8" t="inlineStr">
        <is>
          <t>Whale</t>
        </is>
      </c>
      <c r="D9" s="8" t="inlineStr">
        <is>
          <t>Baleine</t>
        </is>
      </c>
      <c r="E9" s="7" t="n">
        <v>15</v>
      </c>
      <c r="F9" s="7" t="n">
        <v>30</v>
      </c>
      <c r="G9" s="7" t="n">
        <v>30</v>
      </c>
      <c r="H9" s="7" t="n">
        <v>4</v>
      </c>
      <c r="I9" s="7" t="n">
        <v>3</v>
      </c>
    </row>
    <row r="11">
      <c r="A11" s="10" t="inlineStr">
        <is>
          <t>※ 体力按波次配置，见「波次」表。雨衣/弹簧鞋/降噪耳机跑者体力 = 慢跑者体力 × hpRain/hpHop/hpPhones，巨鲸 = 耐力跑者体力 × hpWhale（见「全局」）。克制：雨衣跑者不怕洒水器；弹簧鞋跑者跳过香蕉皮（懵时除外）；降噪耳机跑者不怕音响；巨鲸削弱单次效果低于 whaleMin 的攻击。</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3" customWidth="1" min="3" max="3"/>
    <col width="12" customWidth="1" min="4" max="4"/>
    <col width="13" customWidth="1" min="5" max="5"/>
    <col width="16" customWidth="1" min="6" max="6"/>
    <col width="11" customWidth="1" min="7" max="7"/>
    <col width="10" customWidth="1" min="8" max="8"/>
    <col width="10" customWidth="1" min="9" max="9"/>
    <col width="11" customWidth="1" min="10" max="10"/>
    <col width="13" customWidth="1" min="11" max="11"/>
    <col width="8" customWidth="1" min="12" max="12"/>
    <col width="12" customWidth="1" min="13" max="13"/>
  </cols>
  <sheetData>
    <row r="1" ht="30" customHeight="1">
      <c r="A1" s="4" t="inlineStr">
        <is>
          <t>波次</t>
        </is>
      </c>
      <c r="B1" s="4" t="inlineStr">
        <is>
          <t>慢跑者人数</t>
        </is>
      </c>
      <c r="C1" s="4" t="inlineStr">
        <is>
          <t>耐力跑者人数</t>
        </is>
      </c>
      <c r="D1" s="4" t="inlineStr">
        <is>
          <t>慢跑者体力</t>
        </is>
      </c>
      <c r="E1" s="4" t="inlineStr">
        <is>
          <t>耐力跑者体力</t>
        </is>
      </c>
      <c r="F1" s="4" t="inlineStr">
        <is>
          <t>是否 Boss 波（1/0）</t>
        </is>
      </c>
      <c r="G1" s="4" t="inlineStr">
        <is>
          <t>Boss 体力</t>
        </is>
      </c>
      <c r="H1" s="4" t="inlineStr">
        <is>
          <t>词缀数量</t>
        </is>
      </c>
      <c r="I1" s="4" t="inlineStr">
        <is>
          <t>雨衣跑者</t>
        </is>
      </c>
      <c r="J1" s="4" t="inlineStr">
        <is>
          <t>弹簧鞋跑者</t>
        </is>
      </c>
      <c r="K1" s="4" t="inlineStr">
        <is>
          <t>降噪耳机跑者</t>
        </is>
      </c>
      <c r="L1" s="4" t="inlineStr">
        <is>
          <t>巨鲸</t>
        </is>
      </c>
      <c r="M1" s="4" t="inlineStr">
        <is>
          <t>本波总人数</t>
        </is>
      </c>
    </row>
    <row r="2">
      <c r="A2" s="5" t="inlineStr">
        <is>
          <t>wave</t>
        </is>
      </c>
      <c r="B2" s="5" t="inlineStr">
        <is>
          <t>normals</t>
        </is>
      </c>
      <c r="C2" s="5" t="inlineStr">
        <is>
          <t>armored</t>
        </is>
      </c>
      <c r="D2" s="5" t="inlineStr">
        <is>
          <t>normHp</t>
        </is>
      </c>
      <c r="E2" s="5" t="inlineStr">
        <is>
          <t>armHp</t>
        </is>
      </c>
      <c r="F2" s="5" t="inlineStr">
        <is>
          <t>boss</t>
        </is>
      </c>
      <c r="G2" s="5" t="inlineStr">
        <is>
          <t>bossHp</t>
        </is>
      </c>
      <c r="H2" s="5" t="inlineStr">
        <is>
          <t>affixes</t>
        </is>
      </c>
      <c r="I2" s="5" t="inlineStr">
        <is>
          <t>rain</t>
        </is>
      </c>
      <c r="J2" s="5" t="inlineStr">
        <is>
          <t>hop</t>
        </is>
      </c>
      <c r="K2" s="5" t="inlineStr">
        <is>
          <t>phones</t>
        </is>
      </c>
      <c r="L2" s="5" t="inlineStr">
        <is>
          <t>whale</t>
        </is>
      </c>
      <c r="M2" s="5" t="inlineStr"/>
    </row>
    <row r="3">
      <c r="A3" s="6" t="n">
        <v>1</v>
      </c>
      <c r="B3" s="7" t="n">
        <v>30</v>
      </c>
      <c r="C3" s="7" t="n">
        <v>0</v>
      </c>
      <c r="D3" s="7" t="n">
        <v>3.2</v>
      </c>
      <c r="E3" s="7" t="n">
        <v>7.7</v>
      </c>
      <c r="F3" s="7" t="n">
        <v>0</v>
      </c>
      <c r="G3" s="7" t="n">
        <v>0</v>
      </c>
      <c r="H3" s="7" t="n">
        <v>0</v>
      </c>
      <c r="I3" s="7" t="n">
        <v>0</v>
      </c>
      <c r="J3" s="7" t="n">
        <v>0</v>
      </c>
      <c r="K3" s="7" t="n">
        <v>0</v>
      </c>
      <c r="L3" s="7" t="n">
        <v>0</v>
      </c>
      <c r="M3" s="9">
        <f>B3+C3+F3+SUM(I3:L3)</f>
        <v/>
      </c>
    </row>
    <row r="4">
      <c r="A4" s="6" t="n">
        <v>2</v>
      </c>
      <c r="B4" s="7" t="n">
        <v>36</v>
      </c>
      <c r="C4" s="7" t="n">
        <v>0</v>
      </c>
      <c r="D4" s="7" t="n">
        <v>4.4</v>
      </c>
      <c r="E4" s="7" t="n">
        <v>10.3</v>
      </c>
      <c r="F4" s="7" t="n">
        <v>0</v>
      </c>
      <c r="G4" s="7" t="n">
        <v>0</v>
      </c>
      <c r="H4" s="7" t="n">
        <v>0</v>
      </c>
      <c r="I4" s="7" t="n">
        <v>0</v>
      </c>
      <c r="J4" s="7" t="n">
        <v>0</v>
      </c>
      <c r="K4" s="7" t="n">
        <v>0</v>
      </c>
      <c r="L4" s="7" t="n">
        <v>0</v>
      </c>
      <c r="M4" s="9">
        <f>B4+C4+F4+SUM(I4:L4)</f>
        <v/>
      </c>
    </row>
    <row r="5">
      <c r="A5" s="6" t="n">
        <v>3</v>
      </c>
      <c r="B5" s="7" t="n">
        <v>39</v>
      </c>
      <c r="C5" s="7" t="n">
        <v>6</v>
      </c>
      <c r="D5" s="7" t="n">
        <v>5.8</v>
      </c>
      <c r="E5" s="7" t="n">
        <v>13.3</v>
      </c>
      <c r="F5" s="7" t="n">
        <v>0</v>
      </c>
      <c r="G5" s="7" t="n">
        <v>0</v>
      </c>
      <c r="H5" s="7" t="n">
        <v>0</v>
      </c>
      <c r="I5" s="7" t="n">
        <v>0</v>
      </c>
      <c r="J5" s="7" t="n">
        <v>0</v>
      </c>
      <c r="K5" s="7" t="n">
        <v>0</v>
      </c>
      <c r="L5" s="7" t="n">
        <v>0</v>
      </c>
      <c r="M5" s="9">
        <f>B5+C5+F5+SUM(I5:L5)</f>
        <v/>
      </c>
    </row>
    <row r="6">
      <c r="A6" s="6" t="n">
        <v>4</v>
      </c>
      <c r="B6" s="7" t="n">
        <v>45</v>
      </c>
      <c r="C6" s="7" t="n">
        <v>9</v>
      </c>
      <c r="D6" s="7" t="n">
        <v>7.4</v>
      </c>
      <c r="E6" s="7" t="n">
        <v>16.7</v>
      </c>
      <c r="F6" s="7" t="n">
        <v>0</v>
      </c>
      <c r="G6" s="7" t="n">
        <v>0</v>
      </c>
      <c r="H6" s="7" t="n">
        <v>1</v>
      </c>
      <c r="I6" s="7" t="n">
        <v>4</v>
      </c>
      <c r="J6" s="7" t="n">
        <v>0</v>
      </c>
      <c r="K6" s="7" t="n">
        <v>0</v>
      </c>
      <c r="L6" s="7" t="n">
        <v>0</v>
      </c>
      <c r="M6" s="9">
        <f>B6+C6+F6+SUM(I6:L6)</f>
        <v/>
      </c>
    </row>
    <row r="7">
      <c r="A7" s="6" t="n">
        <v>5</v>
      </c>
      <c r="B7" s="7" t="n">
        <v>51</v>
      </c>
      <c r="C7" s="7" t="n">
        <v>12</v>
      </c>
      <c r="D7" s="7" t="n">
        <v>9.199999999999999</v>
      </c>
      <c r="E7" s="7" t="n">
        <v>20.5</v>
      </c>
      <c r="F7" s="7" t="n">
        <v>1</v>
      </c>
      <c r="G7" s="7" t="n">
        <v>100</v>
      </c>
      <c r="H7" s="7" t="n">
        <v>1</v>
      </c>
      <c r="I7" s="7" t="n">
        <v>5</v>
      </c>
      <c r="J7" s="7" t="n">
        <v>0</v>
      </c>
      <c r="K7" s="7" t="n">
        <v>0</v>
      </c>
      <c r="L7" s="7" t="n">
        <v>0</v>
      </c>
      <c r="M7" s="9">
        <f>B7+C7+F7+SUM(I7:L7)</f>
        <v/>
      </c>
    </row>
    <row r="8">
      <c r="A8" s="6" t="n">
        <v>6</v>
      </c>
      <c r="B8" s="7" t="n">
        <v>57</v>
      </c>
      <c r="C8" s="7" t="n">
        <v>15</v>
      </c>
      <c r="D8" s="7" t="n">
        <v>11.2</v>
      </c>
      <c r="E8" s="7" t="n">
        <v>24.7</v>
      </c>
      <c r="F8" s="7" t="n">
        <v>0</v>
      </c>
      <c r="G8" s="7" t="n">
        <v>0</v>
      </c>
      <c r="H8" s="7" t="n">
        <v>1</v>
      </c>
      <c r="I8" s="7" t="n">
        <v>6</v>
      </c>
      <c r="J8" s="7" t="n">
        <v>5</v>
      </c>
      <c r="K8" s="7" t="n">
        <v>0</v>
      </c>
      <c r="L8" s="7" t="n">
        <v>0</v>
      </c>
      <c r="M8" s="9">
        <f>B8+C8+F8+SUM(I8:L8)</f>
        <v/>
      </c>
    </row>
    <row r="9">
      <c r="A9" s="6" t="n">
        <v>7</v>
      </c>
      <c r="B9" s="7" t="n">
        <v>60</v>
      </c>
      <c r="C9" s="7" t="n">
        <v>18</v>
      </c>
      <c r="D9" s="7" t="n">
        <v>13.4</v>
      </c>
      <c r="E9" s="7" t="n">
        <v>29.3</v>
      </c>
      <c r="F9" s="7" t="n">
        <v>0</v>
      </c>
      <c r="G9" s="7" t="n">
        <v>0</v>
      </c>
      <c r="H9" s="7" t="n">
        <v>1</v>
      </c>
      <c r="I9" s="7" t="n">
        <v>6</v>
      </c>
      <c r="J9" s="7" t="n">
        <v>5</v>
      </c>
      <c r="K9" s="7" t="n">
        <v>0</v>
      </c>
      <c r="L9" s="7" t="n">
        <v>0</v>
      </c>
      <c r="M9" s="9">
        <f>B9+C9+F9+SUM(I9:L9)</f>
        <v/>
      </c>
    </row>
    <row r="10">
      <c r="A10" s="6" t="n">
        <v>8</v>
      </c>
      <c r="B10" s="7" t="n">
        <v>66</v>
      </c>
      <c r="C10" s="7" t="n">
        <v>21</v>
      </c>
      <c r="D10" s="7" t="n">
        <v>15.8</v>
      </c>
      <c r="E10" s="7" t="n">
        <v>34.3</v>
      </c>
      <c r="F10" s="7" t="n">
        <v>0</v>
      </c>
      <c r="G10" s="7" t="n">
        <v>0</v>
      </c>
      <c r="H10" s="7" t="n">
        <v>1</v>
      </c>
      <c r="I10" s="7" t="n">
        <v>7</v>
      </c>
      <c r="J10" s="7" t="n">
        <v>5</v>
      </c>
      <c r="K10" s="7" t="n">
        <v>5</v>
      </c>
      <c r="L10" s="7" t="n">
        <v>0</v>
      </c>
      <c r="M10" s="9">
        <f>B10+C10+F10+SUM(I10:L10)</f>
        <v/>
      </c>
    </row>
    <row r="11">
      <c r="A11" s="6" t="n">
        <v>9</v>
      </c>
      <c r="B11" s="7" t="n">
        <v>72</v>
      </c>
      <c r="C11" s="7" t="n">
        <v>24</v>
      </c>
      <c r="D11" s="7" t="n">
        <v>19.5</v>
      </c>
      <c r="E11" s="7" t="n">
        <v>42.08</v>
      </c>
      <c r="F11" s="7" t="n">
        <v>0</v>
      </c>
      <c r="G11" s="7" t="n">
        <v>0</v>
      </c>
      <c r="H11" s="7" t="n">
        <v>1</v>
      </c>
      <c r="I11" s="7" t="n">
        <v>7</v>
      </c>
      <c r="J11" s="7" t="n">
        <v>6</v>
      </c>
      <c r="K11" s="7" t="n">
        <v>6</v>
      </c>
      <c r="L11" s="7" t="n">
        <v>0</v>
      </c>
      <c r="M11" s="9">
        <f>B11+C11+F11+SUM(I11:L11)</f>
        <v/>
      </c>
    </row>
    <row r="12">
      <c r="A12" s="6" t="n">
        <v>10</v>
      </c>
      <c r="B12" s="7" t="n">
        <v>78</v>
      </c>
      <c r="C12" s="7" t="n">
        <v>27</v>
      </c>
      <c r="D12" s="7" t="n">
        <v>23.74</v>
      </c>
      <c r="E12" s="7" t="n">
        <v>50.96</v>
      </c>
      <c r="F12" s="7" t="n">
        <v>1</v>
      </c>
      <c r="G12" s="7" t="n">
        <v>420</v>
      </c>
      <c r="H12" s="7" t="n">
        <v>2</v>
      </c>
      <c r="I12" s="7" t="n">
        <v>8</v>
      </c>
      <c r="J12" s="7" t="n">
        <v>6</v>
      </c>
      <c r="K12" s="7" t="n">
        <v>6</v>
      </c>
      <c r="L12" s="7" t="n">
        <v>1</v>
      </c>
      <c r="M12" s="9">
        <f>B12+C12+F12+SUM(I12:L12)</f>
        <v/>
      </c>
    </row>
    <row r="13">
      <c r="A13" s="6" t="n">
        <v>11</v>
      </c>
      <c r="B13" s="7" t="n">
        <v>81</v>
      </c>
      <c r="C13" s="7" t="n">
        <v>33</v>
      </c>
      <c r="D13" s="7" t="n">
        <v>28.56</v>
      </c>
      <c r="E13" s="7" t="n">
        <v>61.01</v>
      </c>
      <c r="F13" s="7" t="n">
        <v>0</v>
      </c>
      <c r="G13" s="7" t="n">
        <v>0</v>
      </c>
      <c r="H13" s="7" t="n">
        <v>1</v>
      </c>
      <c r="I13" s="7" t="n">
        <v>8</v>
      </c>
      <c r="J13" s="7" t="n">
        <v>6</v>
      </c>
      <c r="K13" s="7" t="n">
        <v>6</v>
      </c>
      <c r="L13" s="7" t="n">
        <v>1</v>
      </c>
      <c r="M13" s="9">
        <f>B13+C13+F13+SUM(I13:L13)</f>
        <v/>
      </c>
    </row>
    <row r="14">
      <c r="A14" s="6" t="n">
        <v>12</v>
      </c>
      <c r="B14" s="7" t="n">
        <v>87</v>
      </c>
      <c r="C14" s="7" t="n">
        <v>36</v>
      </c>
      <c r="D14" s="7" t="n">
        <v>33.98</v>
      </c>
      <c r="E14" s="7" t="n">
        <v>72.29000000000001</v>
      </c>
      <c r="F14" s="7" t="n">
        <v>0</v>
      </c>
      <c r="G14" s="7" t="n">
        <v>0</v>
      </c>
      <c r="H14" s="7" t="n">
        <v>1</v>
      </c>
      <c r="I14" s="7" t="n">
        <v>9</v>
      </c>
      <c r="J14" s="7" t="n">
        <v>7</v>
      </c>
      <c r="K14" s="7" t="n">
        <v>7</v>
      </c>
      <c r="L14" s="7" t="n">
        <v>2</v>
      </c>
      <c r="M14" s="9">
        <f>B14+C14+F14+SUM(I14:L14)</f>
        <v/>
      </c>
    </row>
    <row r="15">
      <c r="A15" s="6" t="n">
        <v>13</v>
      </c>
      <c r="B15" s="7" t="n">
        <v>93</v>
      </c>
      <c r="C15" s="7" t="n">
        <v>39</v>
      </c>
      <c r="D15" s="7" t="n">
        <v>40.04</v>
      </c>
      <c r="E15" s="7" t="n">
        <v>84.89</v>
      </c>
      <c r="F15" s="7" t="n">
        <v>0</v>
      </c>
      <c r="G15" s="7" t="n">
        <v>0</v>
      </c>
      <c r="H15" s="7" t="n">
        <v>1</v>
      </c>
      <c r="I15" s="7" t="n">
        <v>9</v>
      </c>
      <c r="J15" s="7" t="n">
        <v>7</v>
      </c>
      <c r="K15" s="7" t="n">
        <v>7</v>
      </c>
      <c r="L15" s="7" t="n">
        <v>2</v>
      </c>
      <c r="M15" s="9">
        <f>B15+C15+F15+SUM(I15:L15)</f>
        <v/>
      </c>
    </row>
    <row r="16">
      <c r="A16" s="6" t="n">
        <v>14</v>
      </c>
      <c r="B16" s="7" t="n">
        <v>99</v>
      </c>
      <c r="C16" s="7" t="n">
        <v>42</v>
      </c>
      <c r="D16" s="7" t="n">
        <v>46.78</v>
      </c>
      <c r="E16" s="7" t="n">
        <v>98.87</v>
      </c>
      <c r="F16" s="7" t="n">
        <v>0</v>
      </c>
      <c r="G16" s="7" t="n">
        <v>0</v>
      </c>
      <c r="H16" s="7" t="n">
        <v>1</v>
      </c>
      <c r="I16" s="7" t="n">
        <v>10</v>
      </c>
      <c r="J16" s="7" t="n">
        <v>8</v>
      </c>
      <c r="K16" s="7" t="n">
        <v>8</v>
      </c>
      <c r="L16" s="7" t="n">
        <v>3</v>
      </c>
      <c r="M16" s="9">
        <f>B16+C16+F16+SUM(I16:L16)</f>
        <v/>
      </c>
    </row>
    <row r="17">
      <c r="A17" s="6" t="n">
        <v>15</v>
      </c>
      <c r="B17" s="7" t="n">
        <v>102</v>
      </c>
      <c r="C17" s="7" t="n">
        <v>45</v>
      </c>
      <c r="D17" s="7" t="n">
        <v>54.24</v>
      </c>
      <c r="E17" s="7" t="n">
        <v>114.31</v>
      </c>
      <c r="F17" s="7" t="n">
        <v>1</v>
      </c>
      <c r="G17" s="7" t="n">
        <v>1400</v>
      </c>
      <c r="H17" s="7" t="n">
        <v>2</v>
      </c>
      <c r="I17" s="7" t="n">
        <v>10</v>
      </c>
      <c r="J17" s="7" t="n">
        <v>8</v>
      </c>
      <c r="K17" s="7" t="n">
        <v>8</v>
      </c>
      <c r="L17" s="7" t="n">
        <v>3</v>
      </c>
      <c r="M17" s="9">
        <f>B17+C17+F17+SUM(I17:L17)</f>
        <v/>
      </c>
    </row>
    <row r="19">
      <c r="A19" s="10" t="inlineStr">
        <is>
          <t>※ 行数就是总波数，可以增删行；精英小队的词缀数量见「全局」eliteAffixes。</t>
        </is>
      </c>
    </row>
  </sheetData>
  <dataValidations count="1">
    <dataValidation sqref="F3:F200" showDropDown="0" showInputMessage="0" showErrorMessage="0" allowBlank="0" type="list">
      <formula1>"0,1"</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1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2" customWidth="1" min="3" max="3"/>
    <col width="12" customWidth="1" min="4" max="4"/>
    <col width="14" customWidth="1" min="5" max="5"/>
    <col width="16" customWidth="1" min="6" max="6"/>
    <col width="40" customWidth="1" min="7" max="7"/>
    <col width="44" customWidth="1" min="8" max="8"/>
    <col width="48" customWidth="1" min="9" max="9"/>
    <col width="8" customWidth="1" min="10" max="10"/>
    <col width="8" customWidth="1" min="11" max="11"/>
    <col width="8" customWidth="1" min="12" max="12"/>
    <col width="8" customWidth="1" min="13" max="13"/>
    <col width="46" customWidth="1" min="14" max="14"/>
  </cols>
  <sheetData>
    <row r="1" ht="30" customHeight="1">
      <c r="A1" s="4" t="inlineStr">
        <is>
          <t>id</t>
        </is>
      </c>
      <c r="B1" s="4" t="inlineStr">
        <is>
          <t>启用（1/0）</t>
        </is>
      </c>
      <c r="C1" s="4" t="inlineStr">
        <is>
          <t>名字</t>
        </is>
      </c>
      <c r="D1" s="4" t="inlineStr">
        <is>
          <t>称号（中文）</t>
        </is>
      </c>
      <c r="E1" s="4" t="inlineStr">
        <is>
          <t>称号（English）</t>
        </is>
      </c>
      <c r="F1" s="4" t="inlineStr">
        <is>
          <t>称号（Français）</t>
        </is>
      </c>
      <c r="G1" s="4" t="inlineStr">
        <is>
          <t>能力说明（中文）</t>
        </is>
      </c>
      <c r="H1" s="4" t="inlineStr">
        <is>
          <t>能力说明（English）</t>
        </is>
      </c>
      <c r="I1" s="4" t="inlineStr">
        <is>
          <t>能力说明（Français）</t>
        </is>
      </c>
      <c r="J1" s="4" t="inlineStr">
        <is>
          <t>p1</t>
        </is>
      </c>
      <c r="K1" s="4" t="inlineStr">
        <is>
          <t>p2</t>
        </is>
      </c>
      <c r="L1" s="4" t="inlineStr">
        <is>
          <t>p3</t>
        </is>
      </c>
      <c r="M1" s="4" t="inlineStr">
        <is>
          <t>p4</t>
        </is>
      </c>
      <c r="N1" s="4" t="inlineStr">
        <is>
          <t>p1–p4 含义</t>
        </is>
      </c>
    </row>
    <row r="2">
      <c r="A2" s="5" t="inlineStr">
        <is>
          <t>id</t>
        </is>
      </c>
      <c r="B2" s="5" t="inlineStr">
        <is>
          <t>enabled</t>
        </is>
      </c>
      <c r="C2" s="5" t="inlineStr">
        <is>
          <t>name</t>
        </is>
      </c>
      <c r="D2" s="5" t="inlineStr">
        <is>
          <t>title_zh</t>
        </is>
      </c>
      <c r="E2" s="5" t="inlineStr">
        <is>
          <t>title_en</t>
        </is>
      </c>
      <c r="F2" s="5" t="inlineStr">
        <is>
          <t>title_fr</t>
        </is>
      </c>
      <c r="G2" s="5" t="inlineStr">
        <is>
          <t>ability_zh</t>
        </is>
      </c>
      <c r="H2" s="5" t="inlineStr">
        <is>
          <t>ability_en</t>
        </is>
      </c>
      <c r="I2" s="5" t="inlineStr">
        <is>
          <t>ability_fr</t>
        </is>
      </c>
      <c r="J2" s="5" t="inlineStr">
        <is>
          <t>p1</t>
        </is>
      </c>
      <c r="K2" s="5" t="inlineStr">
        <is>
          <t>p2</t>
        </is>
      </c>
      <c r="L2" s="5" t="inlineStr">
        <is>
          <t>p3</t>
        </is>
      </c>
      <c r="M2" s="5" t="inlineStr">
        <is>
          <t>p4</t>
        </is>
      </c>
      <c r="N2" s="5" t="inlineStr"/>
    </row>
    <row r="3">
      <c r="A3" s="6" t="inlineStr">
        <is>
          <t>yawn</t>
        </is>
      </c>
      <c r="B3" s="7" t="n">
        <v>1</v>
      </c>
      <c r="C3" s="8" t="inlineStr">
        <is>
          <t>Nox</t>
        </is>
      </c>
      <c r="D3" s="8" t="inlineStr">
        <is>
          <t>黑猫</t>
        </is>
      </c>
      <c r="E3" s="8" t="inlineStr">
        <is>
          <t>Black Cat</t>
        </is>
      </c>
      <c r="F3" s="8" t="inlineStr">
        <is>
          <t>Chat noir</t>
        </is>
      </c>
      <c r="G3" s="8" t="inlineStr">
        <is>
          <t>九命：第一次退赛会原地复活（40% 体力）</t>
        </is>
      </c>
      <c r="H3" s="8" t="inlineStr">
        <is>
          <t>Nine Lives: revives once on the spot (40% stamina)</t>
        </is>
      </c>
      <c r="I3" s="8" t="inlineStr">
        <is>
          <t>Neuf vies : revient une fois sur place (40 % d’endurance)</t>
        </is>
      </c>
      <c r="J3" s="7" t="n">
        <v>0.4</v>
      </c>
      <c r="K3" s="7" t="n">
        <v>1</v>
      </c>
      <c r="L3" s="7" t="n">
        <v>0</v>
      </c>
      <c r="M3" s="7" t="n">
        <v>0</v>
      </c>
      <c r="N3" s="9" t="inlineStr">
        <is>
          <t>p1 = 复活体力比例；p2 = 复活后无敌秒数</t>
        </is>
      </c>
    </row>
    <row r="4">
      <c r="A4" s="6" t="inlineStr">
        <is>
          <t>gilg</t>
        </is>
      </c>
      <c r="B4" s="7" t="n">
        <v>1</v>
      </c>
      <c r="C4" s="8" t="inlineStr">
        <is>
          <t>Aurum</t>
        </is>
      </c>
      <c r="D4" s="8" t="inlineStr">
        <is>
          <t>金王</t>
        </is>
      </c>
      <c r="E4" s="8" t="inlineStr">
        <is>
          <t>Golden King</t>
        </is>
      </c>
      <c r="F4" s="8" t="inlineStr">
        <is>
          <t>Roi doré</t>
        </is>
      </c>
      <c r="G4" s="8" t="inlineStr">
        <is>
          <t>王之宝库：每 4 秒召唤 2 名金甲跑者</t>
        </is>
      </c>
      <c r="H4" s="8" t="inlineStr">
        <is>
          <t>Royal Treasury: summons 2 golden runners every 4 s</t>
        </is>
      </c>
      <c r="I4" s="8" t="inlineStr">
        <is>
          <t>Trésor royal : invoque 2 coureurs dorés toutes les 4 s</t>
        </is>
      </c>
      <c r="J4" s="7" t="n">
        <v>4</v>
      </c>
      <c r="K4" s="7" t="n">
        <v>2</v>
      </c>
      <c r="L4" s="7" t="n">
        <v>8</v>
      </c>
      <c r="M4" s="7" t="n">
        <v>0.8</v>
      </c>
      <c r="N4" s="9" t="inlineStr">
        <is>
          <t>p1 = 召唤间隔（秒）；p2 = 每次召唤人数；p3 = 最多召唤人数；p4 = 金甲跑者体力倍率</t>
        </is>
      </c>
    </row>
    <row r="5">
      <c r="A5" s="6" t="inlineStr">
        <is>
          <t>king</t>
        </is>
      </c>
      <c r="B5" s="7" t="n">
        <v>1</v>
      </c>
      <c r="C5" s="8" t="inlineStr">
        <is>
          <t>Slimo</t>
        </is>
      </c>
      <c r="D5" s="8" t="inlineStr">
        <is>
          <t>黏液国王</t>
        </is>
      </c>
      <c r="E5" s="8" t="inlineStr">
        <is>
          <t>Slime King</t>
        </is>
      </c>
      <c r="F5" s="8" t="inlineStr">
        <is>
          <t>Roi visqueux</t>
        </is>
      </c>
      <c r="G5" s="8" t="inlineStr">
        <is>
          <t>黏液王冠：身后留下黏液，踩到的跑者加速 30% 并回体力</t>
        </is>
      </c>
      <c r="H5" s="8" t="inlineStr">
        <is>
          <t>Slime Crown: leaves a slime trail; runners on it get +30% speed and recover stamina</t>
        </is>
      </c>
      <c r="I5" s="8" t="inlineStr">
        <is>
          <t>Couronne visqueuse : laisse une traînée ; les coureurs dessus gagnent +30 % de vitesse et récupèrent</t>
        </is>
      </c>
      <c r="J5" s="7" t="n">
        <v>0.3</v>
      </c>
      <c r="K5" s="7" t="n">
        <v>1.3</v>
      </c>
      <c r="L5" s="7" t="n">
        <v>0.04</v>
      </c>
      <c r="M5" s="7" t="n">
        <v>5</v>
      </c>
      <c r="N5" s="9" t="inlineStr">
        <is>
          <t>p1 = 黏液间隔（秒）；p2 = 黏液上速度倍率；p3 = 黏液上每秒回复比例；p4 = 黏液持续（秒）</t>
        </is>
      </c>
    </row>
    <row r="6">
      <c r="A6" s="6" t="inlineStr">
        <is>
          <t>lucas</t>
        </is>
      </c>
      <c r="B6" s="7" t="n">
        <v>1</v>
      </c>
      <c r="C6" s="8" t="inlineStr">
        <is>
          <t>Rocco</t>
        </is>
      </c>
      <c r="D6" s="8" t="inlineStr">
        <is>
          <t>光头</t>
        </is>
      </c>
      <c r="E6" s="8" t="inlineStr">
        <is>
          <t>Bald Dasher</t>
        </is>
      </c>
      <c r="F6" s="8" t="inlineStr">
        <is>
          <t>Crâne rasé</t>
        </is>
      </c>
      <c r="G6" s="8" t="inlineStr">
        <is>
          <t>铁头冲刺：每 5 秒冲刺 1 秒，3 倍速</t>
        </is>
      </c>
      <c r="H6" s="8" t="inlineStr">
        <is>
          <t>Headstrong Dash: every 5 s, sprints at ×3 speed for 1 s</t>
        </is>
      </c>
      <c r="I6" s="8" t="inlineStr">
        <is>
          <t>Charge tête baissée : toutes les 5 s, sprint ×3 pendant 1 s</t>
        </is>
      </c>
      <c r="J6" s="7" t="n">
        <v>5</v>
      </c>
      <c r="K6" s="7" t="n">
        <v>1</v>
      </c>
      <c r="L6" s="7" t="n">
        <v>3</v>
      </c>
      <c r="M6" s="7" t="n">
        <v>0</v>
      </c>
      <c r="N6" s="9" t="inlineStr">
        <is>
          <t>p1 = 冲刺间隔（秒）；p2 = 冲刺时长（秒）；p3 = 冲刺速度倍率</t>
        </is>
      </c>
    </row>
    <row r="7">
      <c r="A7" s="6" t="inlineStr">
        <is>
          <t>shiti</t>
        </is>
      </c>
      <c r="B7" s="7" t="n">
        <v>1</v>
      </c>
      <c r="C7" s="8" t="inlineStr">
        <is>
          <t>Chuckles</t>
        </is>
      </c>
      <c r="D7" s="8" t="inlineStr">
        <is>
          <t>笑声</t>
        </is>
      </c>
      <c r="E7" s="8" t="inlineStr">
        <is>
          <t>Laughter</t>
        </is>
      </c>
      <c r="F7" s="8" t="inlineStr">
        <is>
          <t>Fou rire</t>
        </is>
      </c>
      <c r="G7" s="8" t="inlineStr">
        <is>
          <t>开怀大笑：每 6 秒大笑一次，身边的装置停工 1.5 秒</t>
        </is>
      </c>
      <c r="H7" s="8" t="inlineStr">
        <is>
          <t>Big Laugh: every 6 s, nearby devices stop for 1.5 s</t>
        </is>
      </c>
      <c r="I7" s="8" t="inlineStr">
        <is>
          <t>Fou rire : toutes les 6 s, les dispositifs proches s’arrêtent 1,5 s</t>
        </is>
      </c>
      <c r="J7" s="7" t="n">
        <v>6</v>
      </c>
      <c r="K7" s="7" t="n">
        <v>130</v>
      </c>
      <c r="L7" s="7" t="n">
        <v>1.5</v>
      </c>
      <c r="M7" s="7" t="n">
        <v>0</v>
      </c>
      <c r="N7" s="9" t="inlineStr">
        <is>
          <t>p1 = 大笑间隔（秒）；p2 = 影响半径；p3 = 装置停工（秒）</t>
        </is>
      </c>
    </row>
    <row r="8">
      <c r="A8" s="6" t="inlineStr">
        <is>
          <t>pizza</t>
        </is>
      </c>
      <c r="B8" s="7" t="n">
        <v>1</v>
      </c>
      <c r="C8" s="8" t="inlineStr">
        <is>
          <t>Pizza Rider</t>
        </is>
      </c>
      <c r="D8" s="8" t="inlineStr">
        <is>
          <t>披萨外卖员</t>
        </is>
      </c>
      <c r="E8" s="8" t="inlineStr">
        <is>
          <t>Pizza courier</t>
        </is>
      </c>
      <c r="F8" s="8" t="inlineStr">
        <is>
          <t>Livreur de pizza</t>
        </is>
      </c>
      <c r="G8" s="8" t="inlineStr">
        <is>
          <t>一万枚换两个披萨：体力掉到 2/3 和 1/3 时各扔下一盒披萨，冒出一群披萨跑者</t>
        </is>
      </c>
      <c r="H8" s="8" t="inlineStr">
        <is>
          <t>10,000 coins for two pizzas: at 2/3 and 1/3 stamina he drops a pizza box and a swarm of pizza runners pours out</t>
        </is>
      </c>
      <c r="I8" s="8" t="inlineStr">
        <is>
          <t>10 000 pièces pour deux pizzas : à 2/3 et 1/3 d’endurance, il lâche une boîte et une nuée de coureurs-pizza en sort</t>
        </is>
      </c>
      <c r="J8" s="7" t="n">
        <v>5</v>
      </c>
      <c r="K8" s="7" t="n">
        <v>0.22</v>
      </c>
      <c r="L8" s="7" t="n">
        <v>0</v>
      </c>
      <c r="M8" s="7" t="n">
        <v>0</v>
      </c>
      <c r="N8" s="9" t="inlineStr">
        <is>
          <t>p1 = 每盒披萨冒出几个跑者；p2 = 披萨跑者体力占比</t>
        </is>
      </c>
    </row>
    <row r="9">
      <c r="A9" s="6" t="inlineStr">
        <is>
          <t>overflow</t>
        </is>
      </c>
      <c r="B9" s="7" t="n">
        <v>1</v>
      </c>
      <c r="C9" s="8" t="inlineStr">
        <is>
          <t>Overflow</t>
        </is>
      </c>
      <c r="D9" s="8" t="inlineStr">
        <is>
          <t>溢出怪</t>
        </is>
      </c>
      <c r="E9" s="8" t="inlineStr">
        <is>
          <t>The Overflow</t>
        </is>
      </c>
      <c r="F9" s="8" t="inlineStr">
        <is>
          <t>Le Débordement</t>
        </is>
      </c>
      <c r="G9" s="8" t="inlineStr">
        <is>
          <t>整数溢出：第一次倒下时分裂成两个，各带 60% 体力；几秒后“软分叉”修复，两个都掉一半体力</t>
        </is>
      </c>
      <c r="H9" s="8" t="inlineStr">
        <is>
          <t>Integer overflow: the first time it falls it splits into two, each with 60% stamina; a few seconds later a “soft fork” patch halves both</t>
        </is>
      </c>
      <c r="I9" s="8" t="inlineStr">
        <is>
          <t>Dépassement d’entier : la première fois qu’il tombe, il se divise en deux, chacun à 60 % d’endurance ; quelques secondes plus tard, un « soft fork » coupe leur endurance de moitié</t>
        </is>
      </c>
      <c r="J9" s="7" t="n">
        <v>4</v>
      </c>
      <c r="K9" s="7" t="n">
        <v>0.5</v>
      </c>
      <c r="L9" s="7" t="n">
        <v>0</v>
      </c>
      <c r="M9" s="7" t="n">
        <v>0</v>
      </c>
      <c r="N9" s="9" t="inlineStr">
        <is>
          <t>p1 = 软分叉延迟（秒）；p2 = 软分叉扣除体力比例</t>
        </is>
      </c>
    </row>
    <row r="10">
      <c r="A10" s="6" t="inlineStr">
        <is>
          <t>jerry</t>
        </is>
      </c>
      <c r="B10" s="7" t="n">
        <v>1</v>
      </c>
      <c r="C10" s="8" t="inlineStr">
        <is>
          <t>Datto</t>
        </is>
      </c>
      <c r="D10" s="8" t="inlineStr">
        <is>
          <t>数据控</t>
        </is>
      </c>
      <c r="E10" s="8" t="inlineStr">
        <is>
          <t>Data Nerd</t>
        </is>
      </c>
      <c r="F10" s="8" t="inlineStr">
        <is>
          <t>Fan de données</t>
        </is>
      </c>
      <c r="G10" s="8" t="inlineStr">
        <is>
          <t>数据分析：每 3 秒对受到最多的装置类型产生 65% 抗性</t>
        </is>
      </c>
      <c r="H10" s="8" t="inlineStr">
        <is>
          <t>Data Analysis: every 3 s gains 65% resistance to the device hitting him most</t>
        </is>
      </c>
      <c r="I10" s="8" t="inlineStr">
        <is>
          <t>Analyse de données : toutes les 3 s, résiste à 65 % au dispositif qui le touche le plus</t>
        </is>
      </c>
      <c r="J10" s="7" t="n">
        <v>3</v>
      </c>
      <c r="K10" s="7" t="n">
        <v>0.65</v>
      </c>
      <c r="L10" s="7" t="n">
        <v>0</v>
      </c>
      <c r="M10" s="7" t="n">
        <v>0</v>
      </c>
      <c r="N10" s="9" t="inlineStr">
        <is>
          <t>p1 = 统计间隔（秒）；p2 = 抗性比例</t>
        </is>
      </c>
    </row>
  </sheetData>
  <dataValidations count="1">
    <dataValidation sqref="B3:B20" showDropDown="0" showInputMessage="0" showErrorMessage="0" allowBlank="0" type="list">
      <formula1>"0,1"</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6" customWidth="1" min="3" max="3"/>
    <col width="18" customWidth="1" min="4" max="4"/>
    <col width="26" customWidth="1" min="5" max="5"/>
    <col width="36" customWidth="1" min="6" max="6"/>
    <col width="36" customWidth="1" min="7" max="7"/>
  </cols>
  <sheetData>
    <row r="1" ht="30" customHeight="1">
      <c r="A1" s="4" t="inlineStr">
        <is>
          <t>id</t>
        </is>
      </c>
      <c r="B1" s="4" t="inlineStr">
        <is>
          <t>名称（中文）</t>
        </is>
      </c>
      <c r="C1" s="4" t="inlineStr">
        <is>
          <t>名称（English）</t>
        </is>
      </c>
      <c r="D1" s="4" t="inlineStr">
        <is>
          <t>名称（Français）</t>
        </is>
      </c>
      <c r="E1" s="4" t="inlineStr">
        <is>
          <t>说明（中文）</t>
        </is>
      </c>
      <c r="F1" s="4" t="inlineStr">
        <is>
          <t>说明（English）</t>
        </is>
      </c>
      <c r="G1" s="4" t="inlineStr">
        <is>
          <t>说明（Français）</t>
        </is>
      </c>
    </row>
    <row r="2">
      <c r="A2" s="5" t="inlineStr">
        <is>
          <t>id</t>
        </is>
      </c>
      <c r="B2" s="5" t="inlineStr">
        <is>
          <t>name_zh</t>
        </is>
      </c>
      <c r="C2" s="5" t="inlineStr">
        <is>
          <t>name_en</t>
        </is>
      </c>
      <c r="D2" s="5" t="inlineStr">
        <is>
          <t>name_fr</t>
        </is>
      </c>
      <c r="E2" s="5" t="inlineStr">
        <is>
          <t>desc_zh</t>
        </is>
      </c>
      <c r="F2" s="5" t="inlineStr">
        <is>
          <t>desc_en</t>
        </is>
      </c>
      <c r="G2" s="5" t="inlineStr">
        <is>
          <t>desc_fr</t>
        </is>
      </c>
    </row>
    <row r="3">
      <c r="A3" s="6" t="inlineStr">
        <is>
          <t>swift</t>
        </is>
      </c>
      <c r="B3" s="8" t="inlineStr">
        <is>
          <t>冲刺</t>
        </is>
      </c>
      <c r="C3" s="8" t="inlineStr">
        <is>
          <t>Sprint</t>
        </is>
      </c>
      <c r="D3" s="8" t="inlineStr">
        <is>
          <t>Sprint</t>
        </is>
      </c>
      <c r="E3" s="8" t="inlineStr">
        <is>
          <t>移速 +40%</t>
        </is>
      </c>
      <c r="F3" s="8" t="inlineStr">
        <is>
          <t>Speed +40%</t>
        </is>
      </c>
      <c r="G3" s="8" t="inlineStr">
        <is>
          <t>Vitesse +40 %</t>
        </is>
      </c>
    </row>
    <row r="4">
      <c r="A4" s="6" t="inlineStr">
        <is>
          <t>regen</t>
        </is>
      </c>
      <c r="B4" s="8" t="inlineStr">
        <is>
          <t>补给</t>
        </is>
      </c>
      <c r="C4" s="8" t="inlineStr">
        <is>
          <t>Refuel</t>
        </is>
      </c>
      <c r="D4" s="8" t="inlineStr">
        <is>
          <t>Ravitaillement</t>
        </is>
      </c>
      <c r="E4" s="8" t="inlineStr">
        <is>
          <t>1 秒没被干扰就回体力</t>
        </is>
      </c>
      <c r="F4" s="8" t="inlineStr">
        <is>
          <t>Recovers stamina after 1 s undisturbed</t>
        </is>
      </c>
      <c r="G4" s="8" t="inlineStr">
        <is>
          <t>Récupère de l’endurance après 1 s sans gêne</t>
        </is>
      </c>
    </row>
    <row r="5">
      <c r="A5" s="6" t="inlineStr">
        <is>
          <t>shield</t>
        </is>
      </c>
      <c r="B5" s="8" t="inlineStr">
        <is>
          <t>能量盾</t>
        </is>
      </c>
      <c r="C5" s="8" t="inlineStr">
        <is>
          <t>Energy Shield</t>
        </is>
      </c>
      <c r="D5" s="8" t="inlineStr">
        <is>
          <t>Bouclier d’énergie</t>
        </is>
      </c>
      <c r="E5" s="8" t="inlineStr">
        <is>
          <t>额外 35% 能量护盾</t>
        </is>
      </c>
      <c r="F5" s="8" t="inlineStr">
        <is>
          <t>Extra 35% energy shield</t>
        </is>
      </c>
      <c r="G5" s="8" t="inlineStr">
        <is>
          <t>Bouclier d’énergie +35 %</t>
        </is>
      </c>
    </row>
    <row r="6">
      <c r="A6" s="6" t="inlineStr">
        <is>
          <t>split</t>
        </is>
      </c>
      <c r="B6" s="8" t="inlineStr">
        <is>
          <t>跑团</t>
        </is>
      </c>
      <c r="C6" s="8" t="inlineStr">
        <is>
          <t>Running Club</t>
        </is>
      </c>
      <c r="D6" s="8" t="inlineStr">
        <is>
          <t>Club de course</t>
        </is>
      </c>
      <c r="E6" s="8" t="inlineStr">
        <is>
          <t>退赛时 2 名跟跑者接力</t>
        </is>
      </c>
      <c r="F6" s="8" t="inlineStr">
        <is>
          <t>2 pacers take over when one quits</t>
        </is>
      </c>
      <c r="G6" s="8" t="inlineStr">
        <is>
          <t>2 meneurs prennent le relais à l’abandon</t>
        </is>
      </c>
    </row>
    <row r="8">
      <c r="A8" s="10" t="inlineStr">
        <is>
          <t>※ 词缀数值（冲刺倍率、补给回复、能量盾比例、跟跑者体力）在「全局」表。</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36"/>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7" customWidth="1" min="3" max="3"/>
    <col width="12" customWidth="1" min="4" max="4"/>
    <col width="11" customWidth="1" min="5" max="5"/>
    <col width="14" customWidth="1" min="6" max="6"/>
    <col width="18" customWidth="1" min="7" max="7"/>
    <col width="20" customWidth="1" min="8" max="8"/>
    <col width="34" customWidth="1" min="9" max="9"/>
    <col width="38" customWidth="1" min="10" max="10"/>
    <col width="40" customWidth="1" min="11" max="11"/>
    <col width="9" customWidth="1" min="12" max="12"/>
    <col width="9" customWidth="1" min="13" max="13"/>
    <col width="30" customWidth="1" min="14" max="14"/>
  </cols>
  <sheetData>
    <row r="1" ht="30" customHeight="1">
      <c r="A1" s="4" t="inlineStr">
        <is>
          <t>id</t>
        </is>
      </c>
      <c r="B1" s="4" t="inlineStr">
        <is>
          <t>启用（1/0）</t>
        </is>
      </c>
      <c r="C1" s="4" t="inlineStr">
        <is>
          <t>类别</t>
        </is>
      </c>
      <c r="D1" s="4" t="inlineStr">
        <is>
          <t>稀有度（C/R/L）</t>
        </is>
      </c>
      <c r="E1" s="4" t="inlineStr">
        <is>
          <t>可重复（1/0）</t>
        </is>
      </c>
      <c r="F1" s="4" t="inlineStr">
        <is>
          <t>名称（中文）</t>
        </is>
      </c>
      <c r="G1" s="4" t="inlineStr">
        <is>
          <t>名称（English）</t>
        </is>
      </c>
      <c r="H1" s="4" t="inlineStr">
        <is>
          <t>名称（Français）</t>
        </is>
      </c>
      <c r="I1" s="4" t="inlineStr">
        <is>
          <t>说明（中文）</t>
        </is>
      </c>
      <c r="J1" s="4" t="inlineStr">
        <is>
          <t>说明（English）</t>
        </is>
      </c>
      <c r="K1" s="4" t="inlineStr">
        <is>
          <t>说明（Français）</t>
        </is>
      </c>
      <c r="L1" s="4" t="inlineStr">
        <is>
          <t>数值 v1</t>
        </is>
      </c>
      <c r="M1" s="4" t="inlineStr">
        <is>
          <t>数值 v2</t>
        </is>
      </c>
      <c r="N1" s="4" t="inlineStr">
        <is>
          <t>v1 / v2 含义</t>
        </is>
      </c>
    </row>
    <row r="2">
      <c r="A2" s="5" t="inlineStr">
        <is>
          <t>id</t>
        </is>
      </c>
      <c r="B2" s="5" t="inlineStr">
        <is>
          <t>enabled</t>
        </is>
      </c>
      <c r="C2" s="5" t="inlineStr">
        <is>
          <t>tag</t>
        </is>
      </c>
      <c r="D2" s="5" t="inlineStr">
        <is>
          <t>rar</t>
        </is>
      </c>
      <c r="E2" s="5" t="inlineStr">
        <is>
          <t>stack</t>
        </is>
      </c>
      <c r="F2" s="5" t="inlineStr">
        <is>
          <t>name_zh</t>
        </is>
      </c>
      <c r="G2" s="5" t="inlineStr">
        <is>
          <t>name_en</t>
        </is>
      </c>
      <c r="H2" s="5" t="inlineStr">
        <is>
          <t>name_fr</t>
        </is>
      </c>
      <c r="I2" s="5" t="inlineStr">
        <is>
          <t>desc_zh</t>
        </is>
      </c>
      <c r="J2" s="5" t="inlineStr">
        <is>
          <t>desc_en</t>
        </is>
      </c>
      <c r="K2" s="5" t="inlineStr">
        <is>
          <t>desc_fr</t>
        </is>
      </c>
      <c r="L2" s="5" t="inlineStr">
        <is>
          <t>v1</t>
        </is>
      </c>
      <c r="M2" s="5" t="inlineStr">
        <is>
          <t>v2</t>
        </is>
      </c>
      <c r="N2" s="5" t="inlineStr"/>
    </row>
    <row r="3">
      <c r="A3" s="6" t="inlineStr">
        <is>
          <t>u_bomb</t>
        </is>
      </c>
      <c r="B3" s="7" t="n">
        <v>1</v>
      </c>
      <c r="C3" s="6" t="inlineStr">
        <is>
          <t>装置</t>
        </is>
      </c>
      <c r="D3" s="7" t="inlineStr">
        <is>
          <t>C</t>
        </is>
      </c>
      <c r="E3" s="7" t="n">
        <v>0</v>
      </c>
      <c r="F3" s="8" t="inlineStr">
        <is>
          <t>香蕉皮投手</t>
        </is>
      </c>
      <c r="G3" s="8" t="inlineStr">
        <is>
          <t>Banana Peeler</t>
        </is>
      </c>
      <c r="H3" s="8" t="inlineStr">
        <is>
          <t>Lanceur de peaux de banane</t>
        </is>
      </c>
      <c r="I3" s="8" t="inlineStr">
        <is>
          <t>解锁香蕉皮投手：一片跑者一起滑倒，专克耐力跑者</t>
        </is>
      </c>
      <c r="J3" s="8" t="inlineStr">
        <is>
          <t>Unlock Banana Peeler: trips whole groups, counters endurance runners</t>
        </is>
      </c>
      <c r="K3" s="8" t="inlineStr">
        <is>
          <t>Débloque le Lanceur de peaux : fait glisser des groupes, contre les endurants</t>
        </is>
      </c>
      <c r="L3" s="7" t="n">
        <v>0</v>
      </c>
      <c r="M3" s="7" t="n">
        <v>0</v>
      </c>
      <c r="N3" s="9" t="inlineStr"/>
    </row>
    <row r="4">
      <c r="A4" s="6" t="inlineStr">
        <is>
          <t>u_frost</t>
        </is>
      </c>
      <c r="B4" s="7" t="n">
        <v>1</v>
      </c>
      <c r="C4" s="6" t="inlineStr">
        <is>
          <t>装置</t>
        </is>
      </c>
      <c r="D4" s="7" t="inlineStr">
        <is>
          <t>C</t>
        </is>
      </c>
      <c r="E4" s="7" t="n">
        <v>0</v>
      </c>
      <c r="F4" s="8" t="inlineStr">
        <is>
          <t>洒水器</t>
        </is>
      </c>
      <c r="G4" s="8" t="inlineStr">
        <is>
          <t>Sprinkler</t>
        </is>
      </c>
      <c r="H4" s="8" t="inlineStr">
        <is>
          <t>Arroseur</t>
        </is>
      </c>
      <c r="I4" s="8" t="inlineStr">
        <is>
          <t>解锁洒水器：跑道湿滑，范围减速</t>
        </is>
      </c>
      <c r="J4" s="8" t="inlineStr">
        <is>
          <t>Unlock Sprinkler: wet track, area slow</t>
        </is>
      </c>
      <c r="K4" s="8" t="inlineStr">
        <is>
          <t>Débloque l’Arroseur : piste glissante, ralentit une zone</t>
        </is>
      </c>
      <c r="L4" s="7" t="n">
        <v>0</v>
      </c>
      <c r="M4" s="7" t="n">
        <v>0</v>
      </c>
      <c r="N4" s="9" t="inlineStr"/>
    </row>
    <row r="5">
      <c r="A5" s="6" t="inlineStr">
        <is>
          <t>u_sniper</t>
        </is>
      </c>
      <c r="B5" s="7" t="n">
        <v>1</v>
      </c>
      <c r="C5" s="6" t="inlineStr">
        <is>
          <t>装置</t>
        </is>
      </c>
      <c r="D5" s="7" t="inlineStr">
        <is>
          <t>R</t>
        </is>
      </c>
      <c r="E5" s="7" t="n">
        <v>0</v>
      </c>
      <c r="F5" s="8" t="inlineStr">
        <is>
          <t>鞋盒无人机</t>
        </is>
      </c>
      <c r="G5" s="8" t="inlineStr">
        <is>
          <t>Shoebox Drone</t>
        </is>
      </c>
      <c r="H5" s="8" t="inlineStr">
        <is>
          <t>Drone à boîtes</t>
        </is>
      </c>
      <c r="I5" s="8" t="inlineStr">
        <is>
          <t>解锁鞋盒无人机：全图空投鞋盒，无视耐力</t>
        </is>
      </c>
      <c r="J5" s="8" t="inlineStr">
        <is>
          <t>Unlock Shoebox Drone: map-wide drops, ignores endurance</t>
        </is>
      </c>
      <c r="K5" s="8" t="inlineStr">
        <is>
          <t>Débloque le Drone à boîtes : largages partout, ignore l’endurance</t>
        </is>
      </c>
      <c r="L5" s="7" t="n">
        <v>0</v>
      </c>
      <c r="M5" s="7" t="n">
        <v>0</v>
      </c>
      <c r="N5" s="9" t="inlineStr"/>
    </row>
    <row r="6">
      <c r="A6" s="6" t="inlineStr">
        <is>
          <t>u_tesla</t>
        </is>
      </c>
      <c r="B6" s="7" t="n">
        <v>1</v>
      </c>
      <c r="C6" s="6" t="inlineStr">
        <is>
          <t>装置</t>
        </is>
      </c>
      <c r="D6" s="7" t="inlineStr">
        <is>
          <t>R</t>
        </is>
      </c>
      <c r="E6" s="7" t="n">
        <v>0</v>
      </c>
      <c r="F6" s="8" t="inlineStr">
        <is>
          <t>广场舞音响</t>
        </is>
      </c>
      <c r="G6" s="8" t="inlineStr">
        <is>
          <t>Dance Speaker</t>
        </is>
      </c>
      <c r="H6" s="8" t="inlineStr">
        <is>
          <t>Enceinte de danse</t>
        </is>
      </c>
      <c r="I6" s="8" t="inlineStr">
        <is>
          <t>解锁广场舞音响：洗脑神曲在跑者之间传播</t>
        </is>
      </c>
      <c r="J6" s="8" t="inlineStr">
        <is>
          <t>Unlock Dance Speaker: an earworm hops between runners</t>
        </is>
      </c>
      <c r="K6" s="8" t="inlineStr">
        <is>
          <t>Débloque l’Enceinte de danse : un tube passe de coureur en coureur</t>
        </is>
      </c>
      <c r="L6" s="7" t="n">
        <v>0</v>
      </c>
      <c r="M6" s="7" t="n">
        <v>0</v>
      </c>
      <c r="N6" s="9" t="inlineStr"/>
    </row>
    <row r="7">
      <c r="A7" s="6" t="inlineStr">
        <is>
          <t>u_miner</t>
        </is>
      </c>
      <c r="B7" s="7" t="n">
        <v>1</v>
      </c>
      <c r="C7" s="6" t="inlineStr">
        <is>
          <t>装置</t>
        </is>
      </c>
      <c r="D7" s="7" t="inlineStr">
        <is>
          <t>R</t>
        </is>
      </c>
      <c r="E7" s="7" t="n">
        <v>0</v>
      </c>
      <c r="F7" s="8" t="inlineStr">
        <is>
          <t>矿机</t>
        </is>
      </c>
      <c r="G7" s="8" t="inlineStr">
        <is>
          <t>Miner</t>
        </is>
      </c>
      <c r="H7" s="8" t="inlineStr">
        <is>
          <t>Mineur</t>
        </is>
      </c>
      <c r="I7" s="8" t="inlineStr">
        <is>
          <t>解锁矿机：挖区块得聪，并触发区块奖励三选一</t>
        </is>
      </c>
      <c r="J7" s="8" t="inlineStr">
        <is>
          <t>Unlock the Miner: mine blocks for sats and a block-reward pick</t>
        </is>
      </c>
      <c r="K7" s="8" t="inlineStr">
        <is>
          <t>Débloque le Mineur : mine des blocs pour des sats et un choix de récompense</t>
        </is>
      </c>
      <c r="L7" s="7" t="n">
        <v>0</v>
      </c>
      <c r="M7" s="7" t="n">
        <v>0</v>
      </c>
      <c r="N7" s="9" t="inlineStr"/>
    </row>
    <row r="8">
      <c r="A8" s="6" t="inlineStr">
        <is>
          <t>u_gem</t>
        </is>
      </c>
      <c r="B8" s="7" t="n">
        <v>1</v>
      </c>
      <c r="C8" s="6" t="inlineStr">
        <is>
          <t>装置</t>
        </is>
      </c>
      <c r="D8" s="7" t="inlineStr">
        <is>
          <t>R</t>
        </is>
      </c>
      <c r="E8" s="7" t="n">
        <v>0</v>
      </c>
      <c r="F8" s="8" t="inlineStr">
        <is>
          <t>宝石发射器</t>
        </is>
      </c>
      <c r="G8" s="8" t="inlineStr">
        <is>
          <t>Gem Launcher</t>
        </is>
      </c>
      <c r="H8" s="8" t="inlineStr">
        <is>
          <t>Lance-gemmes</t>
        </is>
      </c>
      <c r="I8" s="8" t="inlineStr">
        <is>
          <t>解锁宝石发射器：红、黄、蓝三种宝石对应三条路线</t>
        </is>
      </c>
      <c r="J8" s="8" t="inlineStr">
        <is>
          <t>Unlock the Gem Launcher: ruby, topaz and sapphire are its three paths</t>
        </is>
      </c>
      <c r="K8" s="8" t="inlineStr">
        <is>
          <t>Débloque le Lance-gemmes : rubis, topaze et saphir sont ses trois voies</t>
        </is>
      </c>
      <c r="L8" s="7" t="n">
        <v>0</v>
      </c>
      <c r="M8" s="7" t="n">
        <v>0</v>
      </c>
      <c r="N8" s="9" t="inlineStr"/>
    </row>
    <row r="9">
      <c r="A9" s="6" t="inlineStr">
        <is>
          <t>pad</t>
        </is>
      </c>
      <c r="B9" s="7" t="n">
        <v>1</v>
      </c>
      <c r="C9" s="6" t="inlineStr">
        <is>
          <t>道具</t>
        </is>
      </c>
      <c r="D9" s="7" t="inlineStr">
        <is>
          <t>R</t>
        </is>
      </c>
      <c r="E9" s="7" t="n">
        <v>1</v>
      </c>
      <c r="F9" s="8" t="inlineStr">
        <is>
          <t>额外放置点</t>
        </is>
      </c>
      <c r="G9" s="8" t="inlineStr">
        <is>
          <t>Extra Spot</t>
        </is>
      </c>
      <c r="H9" s="8" t="inlineStr">
        <is>
          <t>Emplacement bonus</t>
        </is>
      </c>
      <c r="I9" s="8" t="inlineStr">
        <is>
          <t>获得 1 个放置点：点地图上跑道以外的空地，新增一个装置空位</t>
        </is>
      </c>
      <c r="J9" s="8" t="inlineStr">
        <is>
          <t>Gain 1 spot: tap open ground off the track to add a new device spot</t>
        </is>
      </c>
      <c r="K9" s="8" t="inlineStr">
        <is>
          <t>Gagne 1 emplacement : touche un terrain libre hors de la piste pour créer un emplacement</t>
        </is>
      </c>
      <c r="L9" s="7" t="n">
        <v>1</v>
      </c>
      <c r="M9" s="7" t="n">
        <v>0</v>
      </c>
      <c r="N9" s="9" t="inlineStr">
        <is>
          <t>v1 = 放置点个数</t>
        </is>
      </c>
    </row>
    <row r="10">
      <c r="A10" s="6" t="inlineStr">
        <is>
          <t>freeup</t>
        </is>
      </c>
      <c r="B10" s="7" t="n">
        <v>1</v>
      </c>
      <c r="C10" s="6" t="inlineStr">
        <is>
          <t>道具</t>
        </is>
      </c>
      <c r="D10" s="7" t="inlineStr">
        <is>
          <t>C</t>
        </is>
      </c>
      <c r="E10" s="7" t="n">
        <v>1</v>
      </c>
      <c r="F10" s="8" t="inlineStr">
        <is>
          <t>鞋匠</t>
        </is>
      </c>
      <c r="G10" s="8" t="inlineStr">
        <is>
          <t>Cobbler</t>
        </is>
      </c>
      <c r="H10" s="8" t="inlineStr">
        <is>
          <t>Cordonnier</t>
        </is>
      </c>
      <c r="I10" s="8" t="inlineStr">
        <is>
          <t>场上一个装置沿主路线免费升 1 级（没有装置时改为 +100 GST）</t>
        </is>
      </c>
      <c r="J10" s="8" t="inlineStr">
        <is>
          <t>One device gets a free tier on its main path (+100 GST if you have none)</t>
        </is>
      </c>
      <c r="K10" s="8" t="inlineStr">
        <is>
          <t>Un dispositif gagne un niveau gratuit sur sa voie principale (+100 GST si aucun)</t>
        </is>
      </c>
      <c r="L10" s="7" t="n">
        <v>0</v>
      </c>
      <c r="M10" s="7" t="n">
        <v>0</v>
      </c>
      <c r="N10" s="9" t="inlineStr"/>
    </row>
    <row r="11">
      <c r="A11" s="6" t="inlineStr">
        <is>
          <t>coupon</t>
        </is>
      </c>
      <c r="B11" s="7" t="n">
        <v>1</v>
      </c>
      <c r="C11" s="6" t="inlineStr">
        <is>
          <t>道具</t>
        </is>
      </c>
      <c r="D11" s="7" t="inlineStr">
        <is>
          <t>C</t>
        </is>
      </c>
      <c r="E11" s="7" t="n">
        <v>1</v>
      </c>
      <c r="F11" s="8" t="inlineStr">
        <is>
          <t>升级卷轴</t>
        </is>
      </c>
      <c r="G11" s="8" t="inlineStr">
        <is>
          <t>Level-up Scroll</t>
        </is>
      </c>
      <c r="H11" s="8" t="inlineStr">
        <is>
          <t>Parchemin d’amélioration</t>
        </is>
      </c>
      <c r="I11" s="8" t="inlineStr">
        <is>
          <t>接下来 3 次路线升级半价</t>
        </is>
      </c>
      <c r="J11" s="8" t="inlineStr">
        <is>
          <t>Next 3 path upgrades are half price</t>
        </is>
      </c>
      <c r="K11" s="8" t="inlineStr">
        <is>
          <t>Les 3 prochaines améliorations à moitié prix</t>
        </is>
      </c>
      <c r="L11" s="7" t="n">
        <v>3</v>
      </c>
      <c r="M11" s="7" t="n">
        <v>0</v>
      </c>
      <c r="N11" s="9" t="inlineStr">
        <is>
          <t>v1 = 半价次数</t>
        </is>
      </c>
    </row>
    <row r="12">
      <c r="A12" s="6" t="inlineStr">
        <is>
          <t>m_dart</t>
        </is>
      </c>
      <c r="B12" s="7" t="n">
        <v>1</v>
      </c>
      <c r="C12" s="6" t="inlineStr">
        <is>
          <t>徽章</t>
        </is>
      </c>
      <c r="D12" s="7" t="inlineStr">
        <is>
          <t>R</t>
        </is>
      </c>
      <c r="E12" s="7" t="n">
        <v>0</v>
      </c>
      <c r="F12" s="8" t="inlineStr">
        <is>
          <t>（自动）</t>
        </is>
      </c>
      <c r="G12" s="8" t="inlineStr">
        <is>
          <t>（自动）</t>
        </is>
      </c>
      <c r="H12" s="8" t="inlineStr">
        <is>
          <t>（自动）</t>
        </is>
      </c>
      <c r="I12" s="8" t="inlineStr">
        <is>
          <t>（自动）</t>
        </is>
      </c>
      <c r="J12" s="8" t="inlineStr">
        <is>
          <t>（自动）</t>
        </is>
      </c>
      <c r="K12" s="8" t="inlineStr">
        <is>
          <t>（自动）</t>
        </is>
      </c>
      <c r="L12" s="7" t="n">
        <v>0</v>
      </c>
      <c r="M12" s="7" t="n">
        <v>0</v>
      </c>
      <c r="N12" s="9" t="inlineStr">
        <is>
          <t>名称和说明自动生成</t>
        </is>
      </c>
    </row>
    <row r="13">
      <c r="A13" s="6" t="inlineStr">
        <is>
          <t>m_bomb</t>
        </is>
      </c>
      <c r="B13" s="7" t="n">
        <v>1</v>
      </c>
      <c r="C13" s="6" t="inlineStr">
        <is>
          <t>徽章</t>
        </is>
      </c>
      <c r="D13" s="7" t="inlineStr">
        <is>
          <t>R</t>
        </is>
      </c>
      <c r="E13" s="7" t="n">
        <v>0</v>
      </c>
      <c r="F13" s="8" t="inlineStr">
        <is>
          <t>（自动）</t>
        </is>
      </c>
      <c r="G13" s="8" t="inlineStr">
        <is>
          <t>（自动）</t>
        </is>
      </c>
      <c r="H13" s="8" t="inlineStr">
        <is>
          <t>（自动）</t>
        </is>
      </c>
      <c r="I13" s="8" t="inlineStr">
        <is>
          <t>（自动）</t>
        </is>
      </c>
      <c r="J13" s="8" t="inlineStr">
        <is>
          <t>（自动）</t>
        </is>
      </c>
      <c r="K13" s="8" t="inlineStr">
        <is>
          <t>（自动）</t>
        </is>
      </c>
      <c r="L13" s="7" t="n">
        <v>0</v>
      </c>
      <c r="M13" s="7" t="n">
        <v>0</v>
      </c>
      <c r="N13" s="9" t="inlineStr">
        <is>
          <t>名称和说明自动生成</t>
        </is>
      </c>
    </row>
    <row r="14">
      <c r="A14" s="6" t="inlineStr">
        <is>
          <t>m_frost</t>
        </is>
      </c>
      <c r="B14" s="7" t="n">
        <v>1</v>
      </c>
      <c r="C14" s="6" t="inlineStr">
        <is>
          <t>徽章</t>
        </is>
      </c>
      <c r="D14" s="7" t="inlineStr">
        <is>
          <t>R</t>
        </is>
      </c>
      <c r="E14" s="7" t="n">
        <v>0</v>
      </c>
      <c r="F14" s="8" t="inlineStr">
        <is>
          <t>（自动）</t>
        </is>
      </c>
      <c r="G14" s="8" t="inlineStr">
        <is>
          <t>（自动）</t>
        </is>
      </c>
      <c r="H14" s="8" t="inlineStr">
        <is>
          <t>（自动）</t>
        </is>
      </c>
      <c r="I14" s="8" t="inlineStr">
        <is>
          <t>（自动）</t>
        </is>
      </c>
      <c r="J14" s="8" t="inlineStr">
        <is>
          <t>（自动）</t>
        </is>
      </c>
      <c r="K14" s="8" t="inlineStr">
        <is>
          <t>（自动）</t>
        </is>
      </c>
      <c r="L14" s="7" t="n">
        <v>0</v>
      </c>
      <c r="M14" s="7" t="n">
        <v>0</v>
      </c>
      <c r="N14" s="9" t="inlineStr">
        <is>
          <t>名称和说明自动生成</t>
        </is>
      </c>
    </row>
    <row r="15">
      <c r="A15" s="6" t="inlineStr">
        <is>
          <t>m_sniper</t>
        </is>
      </c>
      <c r="B15" s="7" t="n">
        <v>1</v>
      </c>
      <c r="C15" s="6" t="inlineStr">
        <is>
          <t>徽章</t>
        </is>
      </c>
      <c r="D15" s="7" t="inlineStr">
        <is>
          <t>R</t>
        </is>
      </c>
      <c r="E15" s="7" t="n">
        <v>0</v>
      </c>
      <c r="F15" s="8" t="inlineStr">
        <is>
          <t>（自动）</t>
        </is>
      </c>
      <c r="G15" s="8" t="inlineStr">
        <is>
          <t>（自动）</t>
        </is>
      </c>
      <c r="H15" s="8" t="inlineStr">
        <is>
          <t>（自动）</t>
        </is>
      </c>
      <c r="I15" s="8" t="inlineStr">
        <is>
          <t>（自动）</t>
        </is>
      </c>
      <c r="J15" s="8" t="inlineStr">
        <is>
          <t>（自动）</t>
        </is>
      </c>
      <c r="K15" s="8" t="inlineStr">
        <is>
          <t>（自动）</t>
        </is>
      </c>
      <c r="L15" s="7" t="n">
        <v>0</v>
      </c>
      <c r="M15" s="7" t="n">
        <v>0</v>
      </c>
      <c r="N15" s="9" t="inlineStr">
        <is>
          <t>名称和说明自动生成</t>
        </is>
      </c>
    </row>
    <row r="16">
      <c r="A16" s="6" t="inlineStr">
        <is>
          <t>m_tesla</t>
        </is>
      </c>
      <c r="B16" s="7" t="n">
        <v>1</v>
      </c>
      <c r="C16" s="6" t="inlineStr">
        <is>
          <t>徽章</t>
        </is>
      </c>
      <c r="D16" s="7" t="inlineStr">
        <is>
          <t>R</t>
        </is>
      </c>
      <c r="E16" s="7" t="n">
        <v>0</v>
      </c>
      <c r="F16" s="8" t="inlineStr">
        <is>
          <t>（自动）</t>
        </is>
      </c>
      <c r="G16" s="8" t="inlineStr">
        <is>
          <t>（自动）</t>
        </is>
      </c>
      <c r="H16" s="8" t="inlineStr">
        <is>
          <t>（自动）</t>
        </is>
      </c>
      <c r="I16" s="8" t="inlineStr">
        <is>
          <t>（自动）</t>
        </is>
      </c>
      <c r="J16" s="8" t="inlineStr">
        <is>
          <t>（自动）</t>
        </is>
      </c>
      <c r="K16" s="8" t="inlineStr">
        <is>
          <t>（自动）</t>
        </is>
      </c>
      <c r="L16" s="7" t="n">
        <v>0</v>
      </c>
      <c r="M16" s="7" t="n">
        <v>0</v>
      </c>
      <c r="N16" s="9" t="inlineStr">
        <is>
          <t>名称和说明自动生成</t>
        </is>
      </c>
    </row>
    <row r="17">
      <c r="A17" s="6" t="inlineStr">
        <is>
          <t>m_miner</t>
        </is>
      </c>
      <c r="B17" s="7" t="n">
        <v>1</v>
      </c>
      <c r="C17" s="6" t="inlineStr">
        <is>
          <t>徽章</t>
        </is>
      </c>
      <c r="D17" s="7" t="inlineStr">
        <is>
          <t>R</t>
        </is>
      </c>
      <c r="E17" s="7" t="n">
        <v>0</v>
      </c>
      <c r="F17" s="8" t="inlineStr">
        <is>
          <t>（自动）</t>
        </is>
      </c>
      <c r="G17" s="8" t="inlineStr">
        <is>
          <t>（自动）</t>
        </is>
      </c>
      <c r="H17" s="8" t="inlineStr">
        <is>
          <t>（自动）</t>
        </is>
      </c>
      <c r="I17" s="8" t="inlineStr">
        <is>
          <t>（自动）</t>
        </is>
      </c>
      <c r="J17" s="8" t="inlineStr">
        <is>
          <t>（自动）</t>
        </is>
      </c>
      <c r="K17" s="8" t="inlineStr">
        <is>
          <t>（自动）</t>
        </is>
      </c>
      <c r="L17" s="7" t="n">
        <v>0</v>
      </c>
      <c r="M17" s="7" t="n">
        <v>0</v>
      </c>
      <c r="N17" s="9" t="inlineStr">
        <is>
          <t>名称和说明自动生成</t>
        </is>
      </c>
    </row>
    <row r="18">
      <c r="A18" s="6" t="inlineStr">
        <is>
          <t>m_gem</t>
        </is>
      </c>
      <c r="B18" s="7" t="n">
        <v>1</v>
      </c>
      <c r="C18" s="6" t="inlineStr">
        <is>
          <t>徽章</t>
        </is>
      </c>
      <c r="D18" s="7" t="inlineStr">
        <is>
          <t>R</t>
        </is>
      </c>
      <c r="E18" s="7" t="n">
        <v>0</v>
      </c>
      <c r="F18" s="8" t="inlineStr">
        <is>
          <t>（自动）</t>
        </is>
      </c>
      <c r="G18" s="8" t="inlineStr">
        <is>
          <t>（自动）</t>
        </is>
      </c>
      <c r="H18" s="8" t="inlineStr">
        <is>
          <t>（自动）</t>
        </is>
      </c>
      <c r="I18" s="8" t="inlineStr">
        <is>
          <t>（自动）</t>
        </is>
      </c>
      <c r="J18" s="8" t="inlineStr">
        <is>
          <t>（自动）</t>
        </is>
      </c>
      <c r="K18" s="8" t="inlineStr">
        <is>
          <t>（自动）</t>
        </is>
      </c>
      <c r="L18" s="7" t="n">
        <v>0</v>
      </c>
      <c r="M18" s="7" t="n">
        <v>0</v>
      </c>
      <c r="N18" s="9" t="inlineStr">
        <is>
          <t>名称和说明自动生成</t>
        </is>
      </c>
    </row>
    <row r="19">
      <c r="A19" s="6" t="inlineStr">
        <is>
          <t>breaker</t>
        </is>
      </c>
      <c r="B19" s="7" t="n">
        <v>1</v>
      </c>
      <c r="C19" s="6" t="inlineStr">
        <is>
          <t>道具</t>
        </is>
      </c>
      <c r="D19" s="7" t="inlineStr">
        <is>
          <t>L</t>
        </is>
      </c>
      <c r="E19" s="7" t="n">
        <v>0</v>
      </c>
      <c r="F19" s="8" t="inlineStr">
        <is>
          <t>创世鞋</t>
        </is>
      </c>
      <c r="G19" s="8" t="inlineStr">
        <is>
          <t>Genesis Sneaker</t>
        </is>
      </c>
      <c r="H19" s="8" t="inlineStr">
        <is>
          <t>Sneaker Genesis</t>
        </is>
      </c>
      <c r="I19" s="8" t="inlineStr">
        <is>
          <t>所有装置的次路线上限 2 级 → 3 级</t>
        </is>
      </c>
      <c r="J19" s="8" t="inlineStr">
        <is>
          <t>Secondary path cap 2 → 3 for all devices</t>
        </is>
      </c>
      <c r="K19" s="8" t="inlineStr">
        <is>
          <t>Plafond de la voie secondaire 2 → 3 pour tous</t>
        </is>
      </c>
      <c r="L19" s="7" t="n">
        <v>0</v>
      </c>
      <c r="M19" s="7" t="n">
        <v>0</v>
      </c>
      <c r="N19" s="9" t="inlineStr">
        <is>
          <t>上限见全局 secCapBreaker</t>
        </is>
      </c>
    </row>
    <row r="20">
      <c r="A20" s="6" t="inlineStr">
        <is>
          <t>drill</t>
        </is>
      </c>
      <c r="B20" s="7" t="n">
        <v>1</v>
      </c>
      <c r="C20" s="6" t="inlineStr">
        <is>
          <t>宝石</t>
        </is>
      </c>
      <c r="D20" s="7" t="inlineStr">
        <is>
          <t>C</t>
        </is>
      </c>
      <c r="E20" s="7" t="n">
        <v>1</v>
      </c>
      <c r="F20" s="8" t="inlineStr">
        <is>
          <t>效率宝石</t>
        </is>
      </c>
      <c r="G20" s="8" t="inlineStr">
        <is>
          <t>Efficiency Gem</t>
        </is>
      </c>
      <c r="H20" s="8" t="inlineStr">
        <is>
          <t>Gemme d’efficacité</t>
        </is>
      </c>
      <c r="I20" s="8" t="inlineStr">
        <is>
          <t>所有装置效果 +15%（可叠加）</t>
        </is>
      </c>
      <c r="J20" s="8" t="inlineStr">
        <is>
          <t>All devices +15% effect (stacks)</t>
        </is>
      </c>
      <c r="K20" s="8" t="inlineStr">
        <is>
          <t>Tous les dispositifs +15 % d’effet (cumulable)</t>
        </is>
      </c>
      <c r="L20" s="7" t="n">
        <v>0.15</v>
      </c>
      <c r="M20" s="7" t="n">
        <v>0</v>
      </c>
      <c r="N20" s="9" t="inlineStr">
        <is>
          <t>v1 = 效果加成</t>
        </is>
      </c>
    </row>
    <row r="21">
      <c r="A21" s="6" t="inlineStr">
        <is>
          <t>crit</t>
        </is>
      </c>
      <c r="B21" s="7" t="n">
        <v>1</v>
      </c>
      <c r="C21" s="6" t="inlineStr">
        <is>
          <t>宝石</t>
        </is>
      </c>
      <c r="D21" s="7" t="inlineStr">
        <is>
          <t>C</t>
        </is>
      </c>
      <c r="E21" s="7" t="n">
        <v>1</v>
      </c>
      <c r="F21" s="8" t="inlineStr">
        <is>
          <t>幸运宝石</t>
        </is>
      </c>
      <c r="G21" s="8" t="inlineStr">
        <is>
          <t>Luck Gem</t>
        </is>
      </c>
      <c r="H21" s="8" t="inlineStr">
        <is>
          <t>Gemme de chance</t>
        </is>
      </c>
      <c r="I21" s="8" t="inlineStr">
        <is>
          <t>暴击率 +10%（可叠加）</t>
        </is>
      </c>
      <c r="J21" s="8" t="inlineStr">
        <is>
          <t>Crit chance +10% (stacks)</t>
        </is>
      </c>
      <c r="K21" s="8" t="inlineStr">
        <is>
          <t>Chance de critique +10 % (cumulable)</t>
        </is>
      </c>
      <c r="L21" s="7" t="n">
        <v>0.1</v>
      </c>
      <c r="M21" s="7" t="n">
        <v>0</v>
      </c>
      <c r="N21" s="9" t="inlineStr">
        <is>
          <t>v1 = 暴击率加成</t>
        </is>
      </c>
    </row>
    <row r="22">
      <c r="A22" s="6" t="inlineStr">
        <is>
          <t>heart</t>
        </is>
      </c>
      <c r="B22" s="7" t="n">
        <v>1</v>
      </c>
      <c r="C22" s="6" t="inlineStr">
        <is>
          <t>宝石</t>
        </is>
      </c>
      <c r="D22" s="7" t="inlineStr">
        <is>
          <t>C</t>
        </is>
      </c>
      <c r="E22" s="7" t="n">
        <v>1</v>
      </c>
      <c r="F22" s="8" t="inlineStr">
        <is>
          <t>舒适宝石</t>
        </is>
      </c>
      <c r="G22" s="8" t="inlineStr">
        <is>
          <t>Comfort Gem</t>
        </is>
      </c>
      <c r="H22" s="8" t="inlineStr">
        <is>
          <t>Gemme de confort</t>
        </is>
      </c>
      <c r="I22" s="8" t="inlineStr">
        <is>
          <t>生命 +6</t>
        </is>
      </c>
      <c r="J22" s="8" t="inlineStr">
        <is>
          <t>Lives +6</t>
        </is>
      </c>
      <c r="K22" s="8" t="inlineStr">
        <is>
          <t>Vies +6</t>
        </is>
      </c>
      <c r="L22" s="7" t="n">
        <v>6</v>
      </c>
      <c r="M22" s="7" t="n">
        <v>0</v>
      </c>
      <c r="N22" s="9" t="inlineStr">
        <is>
          <t>v1 = 生命</t>
        </is>
      </c>
    </row>
    <row r="23">
      <c r="A23" s="6" t="inlineStr">
        <is>
          <t>loot</t>
        </is>
      </c>
      <c r="B23" s="7" t="n">
        <v>1</v>
      </c>
      <c r="C23" s="6" t="inlineStr">
        <is>
          <t>道具</t>
        </is>
      </c>
      <c r="D23" s="7" t="inlineStr">
        <is>
          <t>C</t>
        </is>
      </c>
      <c r="E23" s="7" t="n">
        <v>1</v>
      </c>
      <c r="F23" s="8" t="inlineStr">
        <is>
          <t>GST 红包</t>
        </is>
      </c>
      <c r="G23" s="8" t="inlineStr">
        <is>
          <t>GST Red Packet</t>
        </is>
      </c>
      <c r="H23" s="8" t="inlineStr">
        <is>
          <t>Enveloppe GST</t>
        </is>
      </c>
      <c r="I23" s="8" t="inlineStr">
        <is>
          <t>立即获得 120 GST</t>
        </is>
      </c>
      <c r="J23" s="8" t="inlineStr">
        <is>
          <t>Get 120 GST now</t>
        </is>
      </c>
      <c r="K23" s="8" t="inlineStr">
        <is>
          <t>Gagne 120 GST tout de suite</t>
        </is>
      </c>
      <c r="L23" s="7" t="n">
        <v>120</v>
      </c>
      <c r="M23" s="7" t="n">
        <v>0</v>
      </c>
      <c r="N23" s="9" t="inlineStr">
        <is>
          <t>v1 = GST</t>
        </is>
      </c>
    </row>
    <row r="24">
      <c r="A24" s="6" t="inlineStr">
        <is>
          <t>golden</t>
        </is>
      </c>
      <c r="B24" s="7" t="n">
        <v>1</v>
      </c>
      <c r="C24" s="6" t="inlineStr">
        <is>
          <t>道具</t>
        </is>
      </c>
      <c r="D24" s="7" t="inlineStr">
        <is>
          <t>C</t>
        </is>
      </c>
      <c r="E24" s="7" t="n">
        <v>0</v>
      </c>
      <c r="F24" s="8" t="inlineStr">
        <is>
          <t>神秘箱</t>
        </is>
      </c>
      <c r="G24" s="8" t="inlineStr">
        <is>
          <t>Mystery Box</t>
        </is>
      </c>
      <c r="H24" s="8" t="inlineStr">
        <is>
          <t>Mystery Box</t>
        </is>
      </c>
      <c r="I24" s="8" t="inlineStr">
        <is>
          <t>10% 的对手跑者背着神秘箱，劝退后 GST ×5</t>
        </is>
      </c>
      <c r="J24" s="8" t="inlineStr">
        <is>
          <t>10% of rival runners carry a Mystery Box: GST ×5 when they quit</t>
        </is>
      </c>
      <c r="K24" s="8" t="inlineStr">
        <is>
          <t>10 % des coureurs rivaux portent une Mystery Box : GST ×5 à l’abandon</t>
        </is>
      </c>
      <c r="L24" s="7" t="n">
        <v>0</v>
      </c>
      <c r="M24" s="7" t="n">
        <v>0</v>
      </c>
      <c r="N24" s="9" t="inlineStr">
        <is>
          <t>概率与倍率见全局</t>
        </is>
      </c>
    </row>
    <row r="25">
      <c r="A25" s="6" t="inlineStr">
        <is>
          <t>bank</t>
        </is>
      </c>
      <c r="B25" s="7" t="n">
        <v>1</v>
      </c>
      <c r="C25" s="6" t="inlineStr">
        <is>
          <t>道具</t>
        </is>
      </c>
      <c r="D25" s="7" t="inlineStr">
        <is>
          <t>R</t>
        </is>
      </c>
      <c r="E25" s="7" t="n">
        <v>0</v>
      </c>
      <c r="F25" s="8" t="inlineStr">
        <is>
          <t>GMT 质押</t>
        </is>
      </c>
      <c r="G25" s="8" t="inlineStr">
        <is>
          <t>GMT Staking</t>
        </is>
      </c>
      <c r="H25" s="8" t="inlineStr">
        <is>
          <t>Staking GMT</t>
        </is>
      </c>
      <c r="I25" s="8" t="inlineStr">
        <is>
          <t>每波结束获得当前 GST 10% 的利息（最多 60）</t>
        </is>
      </c>
      <c r="J25" s="8" t="inlineStr">
        <is>
          <t>After each wave, earn 10% interest on your GST (max 60)</t>
        </is>
      </c>
      <c r="K25" s="8" t="inlineStr">
        <is>
          <t>Après chaque vague, 10 % d’intérêts sur ton GST (max 60)</t>
        </is>
      </c>
      <c r="L25" s="7" t="n">
        <v>0</v>
      </c>
      <c r="M25" s="7" t="n">
        <v>0</v>
      </c>
      <c r="N25" s="9" t="inlineStr">
        <is>
          <t>利率与上限见全局</t>
        </is>
      </c>
    </row>
    <row r="26">
      <c r="A26" s="6" t="inlineStr">
        <is>
          <t>pop</t>
        </is>
      </c>
      <c r="B26" s="7" t="n">
        <v>1</v>
      </c>
      <c r="C26" s="6" t="inlineStr">
        <is>
          <t>道具</t>
        </is>
      </c>
      <c r="D26" s="7" t="inlineStr">
        <is>
          <t>R</t>
        </is>
      </c>
      <c r="E26" s="7" t="n">
        <v>0</v>
      </c>
      <c r="F26" s="8" t="inlineStr">
        <is>
          <t>Gas Hero 毒气</t>
        </is>
      </c>
      <c r="G26" s="8" t="inlineStr">
        <is>
          <t>Gas Hero Gas</t>
        </is>
      </c>
      <c r="H26" s="8" t="inlineStr">
        <is>
          <t>Gaz Gas Hero</t>
        </is>
      </c>
      <c r="I26" s="8" t="inlineStr">
        <is>
          <t>跑者退赛时喷出毒气，波及身边跑者，可以连锁</t>
        </is>
      </c>
      <c r="J26" s="8" t="inlineStr">
        <is>
          <t>Runners who quit release gas that hits those nearby, and can chain</t>
        </is>
      </c>
      <c r="K26" s="8" t="inlineStr">
        <is>
          <t>Les coureurs qui abandonnent libèrent un gaz qui touche les voisins, en chaîne</t>
        </is>
      </c>
      <c r="L26" s="7" t="n">
        <v>0</v>
      </c>
      <c r="M26" s="7" t="n">
        <v>0</v>
      </c>
      <c r="N26" s="9" t="inlineStr">
        <is>
          <t>数值见全局</t>
        </is>
      </c>
    </row>
    <row r="27">
      <c r="A27" s="6" t="inlineStr">
        <is>
          <t>cheap</t>
        </is>
      </c>
      <c r="B27" s="7" t="n">
        <v>1</v>
      </c>
      <c r="C27" s="6" t="inlineStr">
        <is>
          <t>道具</t>
        </is>
      </c>
      <c r="D27" s="7" t="inlineStr">
        <is>
          <t>R</t>
        </is>
      </c>
      <c r="E27" s="7" t="n">
        <v>0</v>
      </c>
      <c r="F27" s="8" t="inlineStr">
        <is>
          <t>MOOAR 折扣</t>
        </is>
      </c>
      <c r="G27" s="8" t="inlineStr">
        <is>
          <t>MOOAR Discount</t>
        </is>
      </c>
      <c r="H27" s="8" t="inlineStr">
        <is>
          <t>Remise MOOAR</t>
        </is>
      </c>
      <c r="I27" s="8" t="inlineStr">
        <is>
          <t>放置和升级费用 −20%</t>
        </is>
      </c>
      <c r="J27" s="8" t="inlineStr">
        <is>
          <t>Placing and upgrading −20%</t>
        </is>
      </c>
      <c r="K27" s="8" t="inlineStr">
        <is>
          <t>Placement et améliorations −20 %</t>
        </is>
      </c>
      <c r="L27" s="7" t="n">
        <v>0.8</v>
      </c>
      <c r="M27" s="7" t="n">
        <v>0</v>
      </c>
      <c r="N27" s="9" t="inlineStr">
        <is>
          <t>v1 = 费用倍率</t>
        </is>
      </c>
    </row>
    <row r="28">
      <c r="A28" s="6" t="inlineStr">
        <is>
          <t>maniac</t>
        </is>
      </c>
      <c r="B28" s="7" t="n">
        <v>1</v>
      </c>
      <c r="C28" s="6" t="inlineStr">
        <is>
          <t>道具</t>
        </is>
      </c>
      <c r="D28" s="7" t="inlineStr">
        <is>
          <t>R</t>
        </is>
      </c>
      <c r="E28" s="7" t="n">
        <v>0</v>
      </c>
      <c r="F28" s="8" t="inlineStr">
        <is>
          <t>连续打卡</t>
        </is>
      </c>
      <c r="G28" s="8" t="inlineStr">
        <is>
          <t>Check-in Streak</t>
        </is>
      </c>
      <c r="H28" s="8" t="inlineStr">
        <is>
          <t>Série de check-ins</t>
        </is>
      </c>
      <c r="I28" s="8" t="inlineStr">
        <is>
          <t>燃脂模式所需连续劝退 50 → 30</t>
        </is>
      </c>
      <c r="J28" s="8" t="inlineStr">
        <is>
          <t>Fat-burn mode needs 30 stops instead of 50</t>
        </is>
      </c>
      <c r="K28" s="8" t="inlineStr">
        <is>
          <t>Le mode brûle-graisse demande 30 arrêts au lieu de 50</t>
        </is>
      </c>
      <c r="L28" s="7" t="n">
        <v>30</v>
      </c>
      <c r="M28" s="7" t="n">
        <v>0</v>
      </c>
      <c r="N28" s="9" t="inlineStr">
        <is>
          <t>v1 = 所需连续劝退</t>
        </is>
      </c>
    </row>
    <row r="29">
      <c r="A29" s="6" t="inlineStr">
        <is>
          <t>devil</t>
        </is>
      </c>
      <c r="B29" s="7" t="n">
        <v>1</v>
      </c>
      <c r="C29" s="6" t="inlineStr">
        <is>
          <t>交易</t>
        </is>
      </c>
      <c r="D29" s="7" t="inlineStr">
        <is>
          <t>R</t>
        </is>
      </c>
      <c r="E29" s="7" t="n">
        <v>0</v>
      </c>
      <c r="F29" s="8" t="inlineStr">
        <is>
          <t>GST 借贷</t>
        </is>
      </c>
      <c r="G29" s="8" t="inlineStr">
        <is>
          <t>GST Loan</t>
        </is>
      </c>
      <c r="H29" s="8" t="inlineStr">
        <is>
          <t>Prêt GST</t>
        </is>
      </c>
      <c r="I29" s="8" t="inlineStr">
        <is>
          <t>立即生效：+250 GST；之后对手体力 +15%</t>
        </is>
      </c>
      <c r="J29" s="8" t="inlineStr">
        <is>
          <t>Instant: +250 GST; rivals get +15% stamina from now on</t>
        </is>
      </c>
      <c r="K29" s="8" t="inlineStr">
        <is>
          <t>Immédiat : +250 GST ; les rivaux ont ensuite +15 % d’endurance</t>
        </is>
      </c>
      <c r="L29" s="7" t="n">
        <v>250</v>
      </c>
      <c r="M29" s="7" t="n">
        <v>1.15</v>
      </c>
      <c r="N29" s="9" t="inlineStr">
        <is>
          <t>v1 = GST，v2 = 对手体力倍率</t>
        </is>
      </c>
    </row>
    <row r="30">
      <c r="A30" s="6" t="inlineStr">
        <is>
          <t>glass</t>
        </is>
      </c>
      <c r="B30" s="7" t="n">
        <v>1</v>
      </c>
      <c r="C30" s="6" t="inlineStr">
        <is>
          <t>交易</t>
        </is>
      </c>
      <c r="D30" s="7" t="inlineStr">
        <is>
          <t>R</t>
        </is>
      </c>
      <c r="E30" s="7" t="n">
        <v>0</v>
      </c>
      <c r="F30" s="8" t="inlineStr">
        <is>
          <t>透支生命</t>
        </is>
      </c>
      <c r="G30" s="8" t="inlineStr">
        <is>
          <t>Overdraw Lives</t>
        </is>
      </c>
      <c r="H30" s="8" t="inlineStr">
        <is>
          <t>Vies à découvert</t>
        </is>
      </c>
      <c r="I30" s="8" t="inlineStr">
        <is>
          <t>立即生效：所有装置效果 +40%；生命 −10</t>
        </is>
      </c>
      <c r="J30" s="8" t="inlineStr">
        <is>
          <t>Instant: all devices +40% effect; lives −10</t>
        </is>
      </c>
      <c r="K30" s="8" t="inlineStr">
        <is>
          <t>Immédiat : tous les dispositifs +40 % d’effet ; vies −10</t>
        </is>
      </c>
      <c r="L30" s="7" t="n">
        <v>0.4</v>
      </c>
      <c r="M30" s="7" t="n">
        <v>10</v>
      </c>
      <c r="N30" s="9" t="inlineStr">
        <is>
          <t>v1 = 效果加成，v2 = 扣除生命</t>
        </is>
      </c>
    </row>
    <row r="31">
      <c r="A31" s="6" t="inlineStr">
        <is>
          <t>track</t>
        </is>
      </c>
      <c r="B31" s="7" t="n">
        <v>1</v>
      </c>
      <c r="C31" s="6" t="inlineStr">
        <is>
          <t>交易</t>
        </is>
      </c>
      <c r="D31" s="7" t="inlineStr">
        <is>
          <t>R</t>
        </is>
      </c>
      <c r="E31" s="7" t="n">
        <v>0</v>
      </c>
      <c r="F31" s="8" t="inlineStr">
        <is>
          <t>牛市狂奔</t>
        </is>
      </c>
      <c r="G31" s="8" t="inlineStr">
        <is>
          <t>Bull Run</t>
        </is>
      </c>
      <c r="H31" s="8" t="inlineStr">
        <is>
          <t>Bull run</t>
        </is>
      </c>
      <c r="I31" s="8" t="inlineStr">
        <is>
          <t>立即生效：对手移速 +15%；劝退获得 GST +50%</t>
        </is>
      </c>
      <c r="J31" s="8" t="inlineStr">
        <is>
          <t>Instant: rivals +15% speed; +50% GST per runner stopped</t>
        </is>
      </c>
      <c r="K31" s="8" t="inlineStr">
        <is>
          <t>Immédiat : rivaux +15 % de vitesse ; +50 % de GST par coureur arrêté</t>
        </is>
      </c>
      <c r="L31" s="7" t="n">
        <v>1.15</v>
      </c>
      <c r="M31" s="7" t="n">
        <v>1.5</v>
      </c>
      <c r="N31" s="9" t="inlineStr">
        <is>
          <t>v1 = 对手速度倍率，v2 = GST 倍率</t>
        </is>
      </c>
    </row>
    <row r="32">
      <c r="A32" s="6" t="inlineStr">
        <is>
          <t>twin</t>
        </is>
      </c>
      <c r="B32" s="7" t="n">
        <v>1</v>
      </c>
      <c r="C32" s="6" t="inlineStr">
        <is>
          <t>道具</t>
        </is>
      </c>
      <c r="D32" s="7" t="inlineStr">
        <is>
          <t>L</t>
        </is>
      </c>
      <c r="E32" s="7" t="n">
        <v>0</v>
      </c>
      <c r="F32" s="8" t="inlineStr">
        <is>
          <t>双倍铸造</t>
        </is>
      </c>
      <c r="G32" s="8" t="inlineStr">
        <is>
          <t>Double Mint</t>
        </is>
      </c>
      <c r="H32" s="8" t="inlineStr">
        <is>
          <t>Double mint</t>
        </is>
      </c>
      <c r="I32" s="8" t="inlineStr">
        <is>
          <t>所有装置每次出手有 20% 概率立刻再来一次</t>
        </is>
      </c>
      <c r="J32" s="8" t="inlineStr">
        <is>
          <t>Every device has a 20% chance to act again instantly</t>
        </is>
      </c>
      <c r="K32" s="8" t="inlineStr">
        <is>
          <t>Chaque dispositif a 20 % de chances d’agir à nouveau</t>
        </is>
      </c>
      <c r="L32" s="7" t="n">
        <v>0</v>
      </c>
      <c r="M32" s="7" t="n">
        <v>0</v>
      </c>
      <c r="N32" s="9" t="inlineStr">
        <is>
          <t>概率见全局 twinChance</t>
        </is>
      </c>
    </row>
    <row r="33">
      <c r="A33" s="6" t="inlineStr">
        <is>
          <t>chain</t>
        </is>
      </c>
      <c r="B33" s="7" t="n">
        <v>1</v>
      </c>
      <c r="C33" s="6" t="inlineStr">
        <is>
          <t>道具</t>
        </is>
      </c>
      <c r="D33" s="7" t="inlineStr">
        <is>
          <t>L</t>
        </is>
      </c>
      <c r="E33" s="7" t="n">
        <v>0</v>
      </c>
      <c r="F33" s="8" t="inlineStr">
        <is>
          <t>Gas Hero 连环毒气</t>
        </is>
      </c>
      <c r="G33" s="8" t="inlineStr">
        <is>
          <t>Gas Hero Chain Gas</t>
        </is>
      </c>
      <c r="H33" s="8" t="inlineStr">
        <is>
          <t>Gaz en chaîne Gas Hero</t>
        </is>
      </c>
      <c r="I33" s="8" t="inlineStr">
        <is>
          <t>毒气范围 +50%、效果翻倍</t>
        </is>
      </c>
      <c r="J33" s="8" t="inlineStr">
        <is>
          <t>Gas area +50%, effect doubled</t>
        </is>
      </c>
      <c r="K33" s="8" t="inlineStr">
        <is>
          <t>Zone de gaz +50 %, effet doublé</t>
        </is>
      </c>
      <c r="L33" s="7" t="n">
        <v>0</v>
      </c>
      <c r="M33" s="7" t="n">
        <v>0</v>
      </c>
      <c r="N33" s="9" t="inlineStr">
        <is>
          <t>需先有 Gas Hero 毒气</t>
        </is>
      </c>
    </row>
    <row r="34">
      <c r="A34" s="6" t="inlineStr">
        <is>
          <t>overclock</t>
        </is>
      </c>
      <c r="B34" s="7" t="n">
        <v>1</v>
      </c>
      <c r="C34" s="6" t="inlineStr">
        <is>
          <t>道具</t>
        </is>
      </c>
      <c r="D34" s="7" t="inlineStr">
        <is>
          <t>L</t>
        </is>
      </c>
      <c r="E34" s="7" t="n">
        <v>0</v>
      </c>
      <c r="F34" s="8" t="inlineStr">
        <is>
          <t>马拉松模式</t>
        </is>
      </c>
      <c r="G34" s="8" t="inlineStr">
        <is>
          <t>Marathon Mode</t>
        </is>
      </c>
      <c r="H34" s="8" t="inlineStr">
        <is>
          <t>Mode marathon</t>
        </is>
      </c>
      <c r="I34" s="8" t="inlineStr">
        <is>
          <t>燃脂模式持续 10 秒，出手速度 ×2</t>
        </is>
      </c>
      <c r="J34" s="8" t="inlineStr">
        <is>
          <t>Fat-burn mode lasts 10 s at ×2 speed</t>
        </is>
      </c>
      <c r="K34" s="8" t="inlineStr">
        <is>
          <t>Le mode brûle-graisse dure 10 s à vitesse ×2</t>
        </is>
      </c>
      <c r="L34" s="7" t="n">
        <v>0</v>
      </c>
      <c r="M34" s="7" t="n">
        <v>0</v>
      </c>
      <c r="N34" s="9" t="inlineStr">
        <is>
          <t>数值见全局</t>
        </is>
      </c>
    </row>
    <row r="36">
      <c r="A36" s="10" t="inlineStr">
        <is>
          <t>※ 徽章卡（m_ 开头）的名称和说明由装置简称自动生成，填写无效。稀有度权重在「全局」rarityC/R/L。</t>
        </is>
      </c>
    </row>
  </sheetData>
  <dataValidations count="3">
    <dataValidation sqref="B3:B60" showDropDown="0" showInputMessage="0" showErrorMessage="0" allowBlank="0" type="list">
      <formula1>"0,1"</formula1>
    </dataValidation>
    <dataValidation sqref="D3:D60" showDropDown="0" showInputMessage="0" showErrorMessage="0" allowBlank="0" type="list">
      <formula1>"C,R,L"</formula1>
    </dataValidation>
    <dataValidation sqref="E3:E60" showDropDown="0" showInputMessage="0" showErrorMessage="0" allowBlank="0" type="list">
      <formula1>"0,1"</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K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4" customWidth="1" min="4" max="4"/>
    <col width="16" customWidth="1" min="5" max="5"/>
    <col width="40" customWidth="1" min="6" max="6"/>
    <col width="44" customWidth="1" min="7" max="7"/>
    <col width="48" customWidth="1" min="8" max="8"/>
    <col width="12" customWidth="1" min="9" max="9"/>
    <col width="12" customWidth="1" min="10" max="10"/>
    <col width="22" customWidth="1" min="11" max="11"/>
  </cols>
  <sheetData>
    <row r="1" ht="30" customHeight="1">
      <c r="A1" s="4" t="inlineStr">
        <is>
          <t>id</t>
        </is>
      </c>
      <c r="B1" s="4" t="inlineStr">
        <is>
          <t>启用（1/0）</t>
        </is>
      </c>
      <c r="C1" s="4" t="inlineStr">
        <is>
          <t>名称（中文）</t>
        </is>
      </c>
      <c r="D1" s="4" t="inlineStr">
        <is>
          <t>名称（English）</t>
        </is>
      </c>
      <c r="E1" s="4" t="inlineStr">
        <is>
          <t>名称（Français）</t>
        </is>
      </c>
      <c r="F1" s="4" t="inlineStr">
        <is>
          <t>说明（中文）</t>
        </is>
      </c>
      <c r="G1" s="4" t="inlineStr">
        <is>
          <t>说明（English）</t>
        </is>
      </c>
      <c r="H1" s="4" t="inlineStr">
        <is>
          <t>说明（Français）</t>
        </is>
      </c>
      <c r="I1" s="4" t="inlineStr">
        <is>
          <t>对手移速倍率</t>
        </is>
      </c>
      <c r="J1" s="4" t="inlineStr">
        <is>
          <t>对手体力倍率</t>
        </is>
      </c>
      <c r="K1" s="4" t="inlineStr">
        <is>
          <t>入口 / 出口 / 路线数</t>
        </is>
      </c>
    </row>
    <row r="2">
      <c r="A2" s="5" t="inlineStr">
        <is>
          <t>id</t>
        </is>
      </c>
      <c r="B2" s="5" t="inlineStr">
        <is>
          <t>enabled</t>
        </is>
      </c>
      <c r="C2" s="5" t="inlineStr">
        <is>
          <t>name_zh</t>
        </is>
      </c>
      <c r="D2" s="5" t="inlineStr">
        <is>
          <t>name_en</t>
        </is>
      </c>
      <c r="E2" s="5" t="inlineStr">
        <is>
          <t>name_fr</t>
        </is>
      </c>
      <c r="F2" s="5" t="inlineStr">
        <is>
          <t>desc_zh</t>
        </is>
      </c>
      <c r="G2" s="5" t="inlineStr">
        <is>
          <t>desc_en</t>
        </is>
      </c>
      <c r="H2" s="5" t="inlineStr">
        <is>
          <t>desc_fr</t>
        </is>
      </c>
      <c r="I2" s="5" t="inlineStr">
        <is>
          <t>spdMult</t>
        </is>
      </c>
      <c r="J2" s="5" t="inlineStr">
        <is>
          <t>hpMult</t>
        </is>
      </c>
      <c r="K2" s="5" t="inlineStr"/>
    </row>
    <row r="3">
      <c r="A3" s="6" t="inlineStr">
        <is>
          <t>classic</t>
        </is>
      </c>
      <c r="B3" s="7" t="n">
        <v>1</v>
      </c>
      <c r="C3" s="8" t="inlineStr">
        <is>
          <t>蛇形跑道</t>
        </is>
      </c>
      <c r="D3" s="8" t="inlineStr">
        <is>
          <t>Serpentine</t>
        </is>
      </c>
      <c r="E3" s="8" t="inlineStr">
        <is>
          <t>Serpentin</t>
        </is>
      </c>
      <c r="F3" s="8" t="inlineStr">
        <is>
          <t>1 进 1 出：一条长蛇形跑道，经典布局</t>
        </is>
      </c>
      <c r="G3" s="8" t="inlineStr">
        <is>
          <t>1 in, 1 out: one long winding track, the classic layout.</t>
        </is>
      </c>
      <c r="H3" s="8" t="inlineStr">
        <is>
          <t>1 entrée, 1 sortie : une longue piste sinueuse, le tracé classique.</t>
        </is>
      </c>
      <c r="I3" s="7" t="n">
        <v>1</v>
      </c>
      <c r="J3" s="7" t="n">
        <v>1</v>
      </c>
      <c r="K3" s="9" t="inlineStr">
        <is>
          <t>1 进 1 出 · 1 条路线</t>
        </is>
      </c>
    </row>
    <row r="4">
      <c r="A4" s="6" t="inlineStr">
        <is>
          <t>twin</t>
        </is>
      </c>
      <c r="B4" s="7" t="n">
        <v>1</v>
      </c>
      <c r="C4" s="8" t="inlineStr">
        <is>
          <t>双子跑道</t>
        </is>
      </c>
      <c r="D4" s="8" t="inlineStr">
        <is>
          <t>Twin Tracks</t>
        </is>
      </c>
      <c r="E4" s="8" t="inlineStr">
        <is>
          <t>Pistes jumelles</t>
        </is>
      </c>
      <c r="F4" s="8" t="inlineStr">
        <is>
          <t>2 进 2 出：两条互不相交的跑道，中间一列空位可以同时照顾两边</t>
        </is>
      </c>
      <c r="G4" s="8" t="inlineStr">
        <is>
          <t>2 in, 2 out: two separate tracks; the middle column of spots can cover both.</t>
        </is>
      </c>
      <c r="H4" s="8" t="inlineStr">
        <is>
          <t>2 entrées, 2 sorties : deux pistes séparées ; la colonne centrale couvre les deux.</t>
        </is>
      </c>
      <c r="I4" s="7" t="n">
        <v>0.85</v>
      </c>
      <c r="J4" s="7" t="n">
        <v>1</v>
      </c>
      <c r="K4" s="9" t="inlineStr">
        <is>
          <t>2 进 2 出 · 2 条路线</t>
        </is>
      </c>
    </row>
    <row r="5">
      <c r="A5" s="6" t="inlineStr">
        <is>
          <t>fork</t>
        </is>
      </c>
      <c r="B5" s="7" t="n">
        <v>1</v>
      </c>
      <c r="C5" s="8" t="inlineStr">
        <is>
          <t>分岔路口</t>
        </is>
      </c>
      <c r="D5" s="8" t="inlineStr">
        <is>
          <t>The Fork</t>
        </is>
      </c>
      <c r="E5" s="8" t="inlineStr">
        <is>
          <t>La Fourche</t>
        </is>
      </c>
      <c r="F5" s="8" t="inlineStr">
        <is>
          <t>1 进 2 出：跑者在路口分成左右两路，入口处是必争之地</t>
        </is>
      </c>
      <c r="G5" s="8" t="inlineStr">
        <is>
          <t>1 in, 2 out: runners split left and right at the junction, so the entrance is key.</t>
        </is>
      </c>
      <c r="H5" s="8" t="inlineStr">
        <is>
          <t>1 entrée, 2 sorties : les coureurs se séparent au carrefour ; l’entrée est décisive.</t>
        </is>
      </c>
      <c r="I5" s="7" t="n">
        <v>0.85</v>
      </c>
      <c r="J5" s="7" t="n">
        <v>1</v>
      </c>
      <c r="K5" s="9" t="inlineStr">
        <is>
          <t>1 进 2 出 · 2 条路线</t>
        </is>
      </c>
    </row>
    <row r="6">
      <c r="A6" s="6" t="inlineStr">
        <is>
          <t>merge</t>
        </is>
      </c>
      <c r="B6" s="7" t="n">
        <v>1</v>
      </c>
      <c r="C6" s="8" t="inlineStr">
        <is>
          <t>汇流跑道</t>
        </is>
      </c>
      <c r="D6" s="8" t="inlineStr">
        <is>
          <t>Confluence</t>
        </is>
      </c>
      <c r="E6" s="8" t="inlineStr">
        <is>
          <t>Confluence</t>
        </is>
      </c>
      <c r="F6" s="8" t="inlineStr">
        <is>
          <t>2 进 1 出：两路跑者从两侧进场，在中间汇合后一起冲向终点</t>
        </is>
      </c>
      <c r="G6" s="8" t="inlineStr">
        <is>
          <t>2 in, 1 out: runners enter from both sides, merge in the middle and rush the finish together.</t>
        </is>
      </c>
      <c r="H6" s="8" t="inlineStr">
        <is>
          <t>2 entrées, 1 sortie : les coureurs arrivent des deux côtés, se rejoignent au centre et filent ensemble.</t>
        </is>
      </c>
      <c r="I6" s="7" t="n">
        <v>0.95</v>
      </c>
      <c r="J6" s="7" t="n">
        <v>1</v>
      </c>
      <c r="K6" s="9" t="inlineStr">
        <is>
          <t>2 进 1 出 · 2 条路线</t>
        </is>
      </c>
    </row>
    <row r="7">
      <c r="A7" s="6" t="inlineStr">
        <is>
          <t>cross</t>
        </is>
      </c>
      <c r="B7" s="7" t="n">
        <v>1</v>
      </c>
      <c r="C7" s="8" t="inlineStr">
        <is>
          <t>十字路口</t>
        </is>
      </c>
      <c r="D7" s="8" t="inlineStr">
        <is>
          <t>Crossroads</t>
        </is>
      </c>
      <c r="E7" s="8" t="inlineStr">
        <is>
          <t>Carrefour</t>
        </is>
      </c>
      <c r="F7" s="8" t="inlineStr">
        <is>
          <t>2 进 2 出：一路从上到下、一路从左到右，两条跑道在右下交叉</t>
        </is>
      </c>
      <c r="G7" s="8" t="inlineStr">
        <is>
          <t>2 in, 2 out: one track runs top to bottom, the other left to right; they cross at the bottom right.</t>
        </is>
      </c>
      <c r="H7" s="8" t="inlineStr">
        <is>
          <t>2 entrées, 2 sorties : une piste du haut vers le bas, l’autre de gauche à droite ; elles se croisent en bas à droite.</t>
        </is>
      </c>
      <c r="I7" s="7" t="n">
        <v>0.8</v>
      </c>
      <c r="J7" s="7" t="n">
        <v>1</v>
      </c>
      <c r="K7" s="9" t="inlineStr">
        <is>
          <t>2 进 2 出 · 2 条路线</t>
        </is>
      </c>
    </row>
    <row r="8">
      <c r="A8" s="6" t="inlineStr">
        <is>
          <t>trident</t>
        </is>
      </c>
      <c r="B8" s="7" t="n">
        <v>1</v>
      </c>
      <c r="C8" s="8" t="inlineStr">
        <is>
          <t>三路汇聚</t>
        </is>
      </c>
      <c r="D8" s="8" t="inlineStr">
        <is>
          <t>Trident</t>
        </is>
      </c>
      <c r="E8" s="8" t="inlineStr">
        <is>
          <t>Trident</t>
        </is>
      </c>
      <c r="F8" s="8" t="inlineStr">
        <is>
          <t>3 进 1 出：左右两路绕远，中路直冲终点，要优先守住中路</t>
        </is>
      </c>
      <c r="G8" s="8" t="inlineStr">
        <is>
          <t>3 in, 1 out: the side tracks loop around while the middle one runs straight to the finish, so guard the middle first.</t>
        </is>
      </c>
      <c r="H8" s="8" t="inlineStr">
        <is>
          <t>3 entrées, 1 sortie : les côtés font un détour, le centre file droit à l’arrivée ; protège le centre en priorité.</t>
        </is>
      </c>
      <c r="I8" s="7" t="n">
        <v>0.8</v>
      </c>
      <c r="J8" s="7" t="n">
        <v>1</v>
      </c>
      <c r="K8" s="9" t="inlineStr">
        <is>
          <t>3 进 1 出 · 3 条路线</t>
        </is>
      </c>
    </row>
    <row r="10">
      <c r="A10" s="10" t="inlineStr">
        <is>
          <t>※ 每局开始时从启用的跑道里随机选一条（游戏里也可以手动指定）。新增跑道：在这里加一行 id，再到「地图」表填坐标。</t>
        </is>
      </c>
    </row>
  </sheetData>
  <dataValidations count="1">
    <dataValidation sqref="B3:B40" showDropDown="0" showInputMessage="0" showErrorMessage="0" allowBlank="0" type="list">
      <formula1>"0,1"</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150"/>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10" customWidth="1" min="3" max="3"/>
    <col width="8" customWidth="1" min="4" max="4"/>
    <col width="8" customWidth="1" min="5" max="5"/>
    <col width="8" customWidth="1" min="6" max="6"/>
  </cols>
  <sheetData>
    <row r="1" ht="30" customHeight="1">
      <c r="A1" s="4" t="inlineStr">
        <is>
          <t>跑道 id</t>
        </is>
      </c>
      <c r="B1" s="4" t="inlineStr">
        <is>
          <t>类型（path=路线点，pad=空位）</t>
        </is>
      </c>
      <c r="C1" s="4" t="inlineStr">
        <is>
          <t>路线编号</t>
        </is>
      </c>
      <c r="D1" s="4" t="inlineStr">
        <is>
          <t>顺序</t>
        </is>
      </c>
      <c r="E1" s="4" t="inlineStr">
        <is>
          <t>x</t>
        </is>
      </c>
      <c r="F1" s="4" t="inlineStr">
        <is>
          <t>y</t>
        </is>
      </c>
    </row>
    <row r="2">
      <c r="A2" s="5" t="inlineStr">
        <is>
          <t>map</t>
        </is>
      </c>
      <c r="B2" s="5" t="inlineStr">
        <is>
          <t>type</t>
        </is>
      </c>
      <c r="C2" s="5" t="inlineStr">
        <is>
          <t>route</t>
        </is>
      </c>
      <c r="D2" s="5" t="inlineStr">
        <is>
          <t>order</t>
        </is>
      </c>
      <c r="E2" s="5" t="inlineStr">
        <is>
          <t>x</t>
        </is>
      </c>
      <c r="F2" s="5" t="inlineStr">
        <is>
          <t>y</t>
        </is>
      </c>
    </row>
    <row r="3">
      <c r="A3" s="6" t="inlineStr">
        <is>
          <t>classic</t>
        </is>
      </c>
      <c r="B3" s="6" t="inlineStr">
        <is>
          <t>path</t>
        </is>
      </c>
      <c r="C3" s="7" t="n">
        <v>1</v>
      </c>
      <c r="D3" s="7" t="n">
        <v>1</v>
      </c>
      <c r="E3" s="7" t="n">
        <v>-24</v>
      </c>
      <c r="F3" s="7" t="n">
        <v>80</v>
      </c>
    </row>
    <row r="4">
      <c r="A4" s="6" t="inlineStr">
        <is>
          <t>classic</t>
        </is>
      </c>
      <c r="B4" s="6" t="inlineStr">
        <is>
          <t>path</t>
        </is>
      </c>
      <c r="C4" s="7" t="n">
        <v>1</v>
      </c>
      <c r="D4" s="7" t="n">
        <v>2</v>
      </c>
      <c r="E4" s="7" t="n">
        <v>300</v>
      </c>
      <c r="F4" s="7" t="n">
        <v>80</v>
      </c>
    </row>
    <row r="5">
      <c r="A5" s="6" t="inlineStr">
        <is>
          <t>classic</t>
        </is>
      </c>
      <c r="B5" s="6" t="inlineStr">
        <is>
          <t>path</t>
        </is>
      </c>
      <c r="C5" s="7" t="n">
        <v>1</v>
      </c>
      <c r="D5" s="7" t="n">
        <v>3</v>
      </c>
      <c r="E5" s="7" t="n">
        <v>300</v>
      </c>
      <c r="F5" s="7" t="n">
        <v>220</v>
      </c>
    </row>
    <row r="6">
      <c r="A6" s="6" t="inlineStr">
        <is>
          <t>classic</t>
        </is>
      </c>
      <c r="B6" s="6" t="inlineStr">
        <is>
          <t>path</t>
        </is>
      </c>
      <c r="C6" s="7" t="n">
        <v>1</v>
      </c>
      <c r="D6" s="7" t="n">
        <v>4</v>
      </c>
      <c r="E6" s="7" t="n">
        <v>60</v>
      </c>
      <c r="F6" s="7" t="n">
        <v>220</v>
      </c>
    </row>
    <row r="7">
      <c r="A7" s="6" t="inlineStr">
        <is>
          <t>classic</t>
        </is>
      </c>
      <c r="B7" s="6" t="inlineStr">
        <is>
          <t>path</t>
        </is>
      </c>
      <c r="C7" s="7" t="n">
        <v>1</v>
      </c>
      <c r="D7" s="7" t="n">
        <v>5</v>
      </c>
      <c r="E7" s="7" t="n">
        <v>60</v>
      </c>
      <c r="F7" s="7" t="n">
        <v>360</v>
      </c>
    </row>
    <row r="8">
      <c r="A8" s="6" t="inlineStr">
        <is>
          <t>classic</t>
        </is>
      </c>
      <c r="B8" s="6" t="inlineStr">
        <is>
          <t>path</t>
        </is>
      </c>
      <c r="C8" s="7" t="n">
        <v>1</v>
      </c>
      <c r="D8" s="7" t="n">
        <v>6</v>
      </c>
      <c r="E8" s="7" t="n">
        <v>300</v>
      </c>
      <c r="F8" s="7" t="n">
        <v>360</v>
      </c>
    </row>
    <row r="9">
      <c r="A9" s="6" t="inlineStr">
        <is>
          <t>classic</t>
        </is>
      </c>
      <c r="B9" s="6" t="inlineStr">
        <is>
          <t>path</t>
        </is>
      </c>
      <c r="C9" s="7" t="n">
        <v>1</v>
      </c>
      <c r="D9" s="7" t="n">
        <v>7</v>
      </c>
      <c r="E9" s="7" t="n">
        <v>300</v>
      </c>
      <c r="F9" s="7" t="n">
        <v>500</v>
      </c>
    </row>
    <row r="10">
      <c r="A10" s="6" t="inlineStr">
        <is>
          <t>classic</t>
        </is>
      </c>
      <c r="B10" s="6" t="inlineStr">
        <is>
          <t>path</t>
        </is>
      </c>
      <c r="C10" s="7" t="n">
        <v>1</v>
      </c>
      <c r="D10" s="7" t="n">
        <v>8</v>
      </c>
      <c r="E10" s="7" t="n">
        <v>180</v>
      </c>
      <c r="F10" s="7" t="n">
        <v>500</v>
      </c>
    </row>
    <row r="11">
      <c r="A11" s="6" t="inlineStr">
        <is>
          <t>classic</t>
        </is>
      </c>
      <c r="B11" s="6" t="inlineStr">
        <is>
          <t>path</t>
        </is>
      </c>
      <c r="C11" s="7" t="n">
        <v>1</v>
      </c>
      <c r="D11" s="7" t="n">
        <v>9</v>
      </c>
      <c r="E11" s="7" t="n">
        <v>180</v>
      </c>
      <c r="F11" s="7" t="n">
        <v>640</v>
      </c>
    </row>
    <row r="12">
      <c r="A12" s="6" t="inlineStr">
        <is>
          <t>classic</t>
        </is>
      </c>
      <c r="B12" s="6" t="inlineStr">
        <is>
          <t>pad</t>
        </is>
      </c>
      <c r="C12" s="7" t="inlineStr"/>
      <c r="D12" s="7" t="n">
        <v>1</v>
      </c>
      <c r="E12" s="7" t="n">
        <v>40</v>
      </c>
      <c r="F12" s="7" t="n">
        <v>150</v>
      </c>
    </row>
    <row r="13">
      <c r="A13" s="6" t="inlineStr">
        <is>
          <t>classic</t>
        </is>
      </c>
      <c r="B13" s="6" t="inlineStr">
        <is>
          <t>pad</t>
        </is>
      </c>
      <c r="C13" s="7" t="inlineStr"/>
      <c r="D13" s="7" t="n">
        <v>2</v>
      </c>
      <c r="E13" s="7" t="n">
        <v>120</v>
      </c>
      <c r="F13" s="7" t="n">
        <v>150</v>
      </c>
    </row>
    <row r="14">
      <c r="A14" s="6" t="inlineStr">
        <is>
          <t>classic</t>
        </is>
      </c>
      <c r="B14" s="6" t="inlineStr">
        <is>
          <t>pad</t>
        </is>
      </c>
      <c r="C14" s="7" t="inlineStr"/>
      <c r="D14" s="7" t="n">
        <v>3</v>
      </c>
      <c r="E14" s="7" t="n">
        <v>200</v>
      </c>
      <c r="F14" s="7" t="n">
        <v>150</v>
      </c>
    </row>
    <row r="15">
      <c r="A15" s="6" t="inlineStr">
        <is>
          <t>classic</t>
        </is>
      </c>
      <c r="B15" s="6" t="inlineStr">
        <is>
          <t>pad</t>
        </is>
      </c>
      <c r="C15" s="7" t="inlineStr"/>
      <c r="D15" s="7" t="n">
        <v>4</v>
      </c>
      <c r="E15" s="7" t="n">
        <v>250</v>
      </c>
      <c r="F15" s="7" t="n">
        <v>150</v>
      </c>
    </row>
    <row r="16">
      <c r="A16" s="6" t="inlineStr">
        <is>
          <t>classic</t>
        </is>
      </c>
      <c r="B16" s="6" t="inlineStr">
        <is>
          <t>pad</t>
        </is>
      </c>
      <c r="C16" s="7" t="inlineStr"/>
      <c r="D16" s="7" t="n">
        <v>5</v>
      </c>
      <c r="E16" s="7" t="n">
        <v>120</v>
      </c>
      <c r="F16" s="7" t="n">
        <v>290</v>
      </c>
    </row>
    <row r="17">
      <c r="A17" s="6" t="inlineStr">
        <is>
          <t>classic</t>
        </is>
      </c>
      <c r="B17" s="6" t="inlineStr">
        <is>
          <t>pad</t>
        </is>
      </c>
      <c r="C17" s="7" t="inlineStr"/>
      <c r="D17" s="7" t="n">
        <v>6</v>
      </c>
      <c r="E17" s="7" t="n">
        <v>200</v>
      </c>
      <c r="F17" s="7" t="n">
        <v>290</v>
      </c>
    </row>
    <row r="18">
      <c r="A18" s="6" t="inlineStr">
        <is>
          <t>classic</t>
        </is>
      </c>
      <c r="B18" s="6" t="inlineStr">
        <is>
          <t>pad</t>
        </is>
      </c>
      <c r="C18" s="7" t="inlineStr"/>
      <c r="D18" s="7" t="n">
        <v>7</v>
      </c>
      <c r="E18" s="7" t="n">
        <v>260</v>
      </c>
      <c r="F18" s="7" t="n">
        <v>290</v>
      </c>
    </row>
    <row r="19">
      <c r="A19" s="6" t="inlineStr">
        <is>
          <t>classic</t>
        </is>
      </c>
      <c r="B19" s="6" t="inlineStr">
        <is>
          <t>pad</t>
        </is>
      </c>
      <c r="C19" s="7" t="inlineStr"/>
      <c r="D19" s="7" t="n">
        <v>8</v>
      </c>
      <c r="E19" s="7" t="n">
        <v>335</v>
      </c>
      <c r="F19" s="7" t="n">
        <v>290</v>
      </c>
    </row>
    <row r="20">
      <c r="A20" s="6" t="inlineStr">
        <is>
          <t>classic</t>
        </is>
      </c>
      <c r="B20" s="6" t="inlineStr">
        <is>
          <t>pad</t>
        </is>
      </c>
      <c r="C20" s="7" t="inlineStr"/>
      <c r="D20" s="7" t="n">
        <v>9</v>
      </c>
      <c r="E20" s="7" t="n">
        <v>30</v>
      </c>
      <c r="F20" s="7" t="n">
        <v>430</v>
      </c>
    </row>
    <row r="21">
      <c r="A21" s="6" t="inlineStr">
        <is>
          <t>classic</t>
        </is>
      </c>
      <c r="B21" s="6" t="inlineStr">
        <is>
          <t>pad</t>
        </is>
      </c>
      <c r="C21" s="7" t="inlineStr"/>
      <c r="D21" s="7" t="n">
        <v>10</v>
      </c>
      <c r="E21" s="7" t="n">
        <v>110</v>
      </c>
      <c r="F21" s="7" t="n">
        <v>430</v>
      </c>
    </row>
    <row r="22">
      <c r="A22" s="6" t="inlineStr">
        <is>
          <t>classic</t>
        </is>
      </c>
      <c r="B22" s="6" t="inlineStr">
        <is>
          <t>pad</t>
        </is>
      </c>
      <c r="C22" s="7" t="inlineStr"/>
      <c r="D22" s="7" t="n">
        <v>11</v>
      </c>
      <c r="E22" s="7" t="n">
        <v>190</v>
      </c>
      <c r="F22" s="7" t="n">
        <v>430</v>
      </c>
    </row>
    <row r="23">
      <c r="A23" s="6" t="inlineStr">
        <is>
          <t>classic</t>
        </is>
      </c>
      <c r="B23" s="6" t="inlineStr">
        <is>
          <t>pad</t>
        </is>
      </c>
      <c r="C23" s="7" t="inlineStr"/>
      <c r="D23" s="7" t="n">
        <v>12</v>
      </c>
      <c r="E23" s="7" t="n">
        <v>250</v>
      </c>
      <c r="F23" s="7" t="n">
        <v>430</v>
      </c>
    </row>
    <row r="24">
      <c r="A24" s="6" t="inlineStr">
        <is>
          <t>classic</t>
        </is>
      </c>
      <c r="B24" s="6" t="inlineStr">
        <is>
          <t>pad</t>
        </is>
      </c>
      <c r="C24" s="7" t="inlineStr"/>
      <c r="D24" s="7" t="n">
        <v>13</v>
      </c>
      <c r="E24" s="7" t="n">
        <v>100</v>
      </c>
      <c r="F24" s="7" t="n">
        <v>560</v>
      </c>
    </row>
    <row r="25">
      <c r="A25" s="6" t="inlineStr">
        <is>
          <t>classic</t>
        </is>
      </c>
      <c r="B25" s="6" t="inlineStr">
        <is>
          <t>pad</t>
        </is>
      </c>
      <c r="C25" s="7" t="inlineStr"/>
      <c r="D25" s="7" t="n">
        <v>14</v>
      </c>
      <c r="E25" s="7" t="n">
        <v>260</v>
      </c>
      <c r="F25" s="7" t="n">
        <v>560</v>
      </c>
    </row>
    <row r="26">
      <c r="A26" s="6" t="inlineStr">
        <is>
          <t>twin</t>
        </is>
      </c>
      <c r="B26" s="6" t="inlineStr">
        <is>
          <t>path</t>
        </is>
      </c>
      <c r="C26" s="7" t="n">
        <v>1</v>
      </c>
      <c r="D26" s="7" t="n">
        <v>1</v>
      </c>
      <c r="E26" s="7" t="n">
        <v>60</v>
      </c>
      <c r="F26" s="7" t="n">
        <v>-24</v>
      </c>
    </row>
    <row r="27">
      <c r="A27" s="6" t="inlineStr">
        <is>
          <t>twin</t>
        </is>
      </c>
      <c r="B27" s="6" t="inlineStr">
        <is>
          <t>path</t>
        </is>
      </c>
      <c r="C27" s="7" t="n">
        <v>1</v>
      </c>
      <c r="D27" s="7" t="n">
        <v>2</v>
      </c>
      <c r="E27" s="7" t="n">
        <v>60</v>
      </c>
      <c r="F27" s="7" t="n">
        <v>180</v>
      </c>
    </row>
    <row r="28">
      <c r="A28" s="6" t="inlineStr">
        <is>
          <t>twin</t>
        </is>
      </c>
      <c r="B28" s="6" t="inlineStr">
        <is>
          <t>path</t>
        </is>
      </c>
      <c r="C28" s="7" t="n">
        <v>1</v>
      </c>
      <c r="D28" s="7" t="n">
        <v>3</v>
      </c>
      <c r="E28" s="7" t="n">
        <v>140</v>
      </c>
      <c r="F28" s="7" t="n">
        <v>180</v>
      </c>
    </row>
    <row r="29">
      <c r="A29" s="6" t="inlineStr">
        <is>
          <t>twin</t>
        </is>
      </c>
      <c r="B29" s="6" t="inlineStr">
        <is>
          <t>path</t>
        </is>
      </c>
      <c r="C29" s="7" t="n">
        <v>1</v>
      </c>
      <c r="D29" s="7" t="n">
        <v>4</v>
      </c>
      <c r="E29" s="7" t="n">
        <v>140</v>
      </c>
      <c r="F29" s="7" t="n">
        <v>420</v>
      </c>
    </row>
    <row r="30">
      <c r="A30" s="6" t="inlineStr">
        <is>
          <t>twin</t>
        </is>
      </c>
      <c r="B30" s="6" t="inlineStr">
        <is>
          <t>path</t>
        </is>
      </c>
      <c r="C30" s="7" t="n">
        <v>1</v>
      </c>
      <c r="D30" s="7" t="n">
        <v>5</v>
      </c>
      <c r="E30" s="7" t="n">
        <v>60</v>
      </c>
      <c r="F30" s="7" t="n">
        <v>420</v>
      </c>
    </row>
    <row r="31">
      <c r="A31" s="6" t="inlineStr">
        <is>
          <t>twin</t>
        </is>
      </c>
      <c r="B31" s="6" t="inlineStr">
        <is>
          <t>path</t>
        </is>
      </c>
      <c r="C31" s="7" t="n">
        <v>1</v>
      </c>
      <c r="D31" s="7" t="n">
        <v>6</v>
      </c>
      <c r="E31" s="7" t="n">
        <v>60</v>
      </c>
      <c r="F31" s="7" t="n">
        <v>624</v>
      </c>
    </row>
    <row r="32">
      <c r="A32" s="6" t="inlineStr">
        <is>
          <t>twin</t>
        </is>
      </c>
      <c r="B32" s="6" t="inlineStr">
        <is>
          <t>path</t>
        </is>
      </c>
      <c r="C32" s="7" t="n">
        <v>2</v>
      </c>
      <c r="D32" s="7" t="n">
        <v>1</v>
      </c>
      <c r="E32" s="7" t="n">
        <v>300</v>
      </c>
      <c r="F32" s="7" t="n">
        <v>-24</v>
      </c>
    </row>
    <row r="33">
      <c r="A33" s="6" t="inlineStr">
        <is>
          <t>twin</t>
        </is>
      </c>
      <c r="B33" s="6" t="inlineStr">
        <is>
          <t>path</t>
        </is>
      </c>
      <c r="C33" s="7" t="n">
        <v>2</v>
      </c>
      <c r="D33" s="7" t="n">
        <v>2</v>
      </c>
      <c r="E33" s="7" t="n">
        <v>300</v>
      </c>
      <c r="F33" s="7" t="n">
        <v>180</v>
      </c>
    </row>
    <row r="34">
      <c r="A34" s="6" t="inlineStr">
        <is>
          <t>twin</t>
        </is>
      </c>
      <c r="B34" s="6" t="inlineStr">
        <is>
          <t>path</t>
        </is>
      </c>
      <c r="C34" s="7" t="n">
        <v>2</v>
      </c>
      <c r="D34" s="7" t="n">
        <v>3</v>
      </c>
      <c r="E34" s="7" t="n">
        <v>220</v>
      </c>
      <c r="F34" s="7" t="n">
        <v>180</v>
      </c>
    </row>
    <row r="35">
      <c r="A35" s="6" t="inlineStr">
        <is>
          <t>twin</t>
        </is>
      </c>
      <c r="B35" s="6" t="inlineStr">
        <is>
          <t>path</t>
        </is>
      </c>
      <c r="C35" s="7" t="n">
        <v>2</v>
      </c>
      <c r="D35" s="7" t="n">
        <v>4</v>
      </c>
      <c r="E35" s="7" t="n">
        <v>220</v>
      </c>
      <c r="F35" s="7" t="n">
        <v>420</v>
      </c>
    </row>
    <row r="36">
      <c r="A36" s="6" t="inlineStr">
        <is>
          <t>twin</t>
        </is>
      </c>
      <c r="B36" s="6" t="inlineStr">
        <is>
          <t>path</t>
        </is>
      </c>
      <c r="C36" s="7" t="n">
        <v>2</v>
      </c>
      <c r="D36" s="7" t="n">
        <v>5</v>
      </c>
      <c r="E36" s="7" t="n">
        <v>300</v>
      </c>
      <c r="F36" s="7" t="n">
        <v>420</v>
      </c>
    </row>
    <row r="37">
      <c r="A37" s="6" t="inlineStr">
        <is>
          <t>twin</t>
        </is>
      </c>
      <c r="B37" s="6" t="inlineStr">
        <is>
          <t>path</t>
        </is>
      </c>
      <c r="C37" s="7" t="n">
        <v>2</v>
      </c>
      <c r="D37" s="7" t="n">
        <v>6</v>
      </c>
      <c r="E37" s="7" t="n">
        <v>300</v>
      </c>
      <c r="F37" s="7" t="n">
        <v>624</v>
      </c>
    </row>
    <row r="38">
      <c r="A38" s="6" t="inlineStr">
        <is>
          <t>twin</t>
        </is>
      </c>
      <c r="B38" s="6" t="inlineStr">
        <is>
          <t>pad</t>
        </is>
      </c>
      <c r="C38" s="7" t="inlineStr"/>
      <c r="D38" s="7" t="n">
        <v>1</v>
      </c>
      <c r="E38" s="7" t="n">
        <v>180</v>
      </c>
      <c r="F38" s="7" t="n">
        <v>100</v>
      </c>
    </row>
    <row r="39">
      <c r="A39" s="6" t="inlineStr">
        <is>
          <t>twin</t>
        </is>
      </c>
      <c r="B39" s="6" t="inlineStr">
        <is>
          <t>pad</t>
        </is>
      </c>
      <c r="C39" s="7" t="inlineStr"/>
      <c r="D39" s="7" t="n">
        <v>2</v>
      </c>
      <c r="E39" s="7" t="n">
        <v>100</v>
      </c>
      <c r="F39" s="7" t="n">
        <v>100</v>
      </c>
    </row>
    <row r="40">
      <c r="A40" s="6" t="inlineStr">
        <is>
          <t>twin</t>
        </is>
      </c>
      <c r="B40" s="6" t="inlineStr">
        <is>
          <t>pad</t>
        </is>
      </c>
      <c r="C40" s="7" t="inlineStr"/>
      <c r="D40" s="7" t="n">
        <v>3</v>
      </c>
      <c r="E40" s="7" t="n">
        <v>260</v>
      </c>
      <c r="F40" s="7" t="n">
        <v>100</v>
      </c>
    </row>
    <row r="41">
      <c r="A41" s="6" t="inlineStr">
        <is>
          <t>twin</t>
        </is>
      </c>
      <c r="B41" s="6" t="inlineStr">
        <is>
          <t>pad</t>
        </is>
      </c>
      <c r="C41" s="7" t="inlineStr"/>
      <c r="D41" s="7" t="n">
        <v>4</v>
      </c>
      <c r="E41" s="7" t="n">
        <v>180</v>
      </c>
      <c r="F41" s="7" t="n">
        <v>230</v>
      </c>
    </row>
    <row r="42">
      <c r="A42" s="6" t="inlineStr">
        <is>
          <t>twin</t>
        </is>
      </c>
      <c r="B42" s="6" t="inlineStr">
        <is>
          <t>pad</t>
        </is>
      </c>
      <c r="C42" s="7" t="inlineStr"/>
      <c r="D42" s="7" t="n">
        <v>5</v>
      </c>
      <c r="E42" s="7" t="n">
        <v>180</v>
      </c>
      <c r="F42" s="7" t="n">
        <v>300</v>
      </c>
    </row>
    <row r="43">
      <c r="A43" s="6" t="inlineStr">
        <is>
          <t>twin</t>
        </is>
      </c>
      <c r="B43" s="6" t="inlineStr">
        <is>
          <t>pad</t>
        </is>
      </c>
      <c r="C43" s="7" t="inlineStr"/>
      <c r="D43" s="7" t="n">
        <v>6</v>
      </c>
      <c r="E43" s="7" t="n">
        <v>180</v>
      </c>
      <c r="F43" s="7" t="n">
        <v>370</v>
      </c>
    </row>
    <row r="44">
      <c r="A44" s="6" t="inlineStr">
        <is>
          <t>twin</t>
        </is>
      </c>
      <c r="B44" s="6" t="inlineStr">
        <is>
          <t>pad</t>
        </is>
      </c>
      <c r="C44" s="7" t="inlineStr"/>
      <c r="D44" s="7" t="n">
        <v>7</v>
      </c>
      <c r="E44" s="7" t="n">
        <v>100</v>
      </c>
      <c r="F44" s="7" t="n">
        <v>300</v>
      </c>
    </row>
    <row r="45">
      <c r="A45" s="6" t="inlineStr">
        <is>
          <t>twin</t>
        </is>
      </c>
      <c r="B45" s="6" t="inlineStr">
        <is>
          <t>pad</t>
        </is>
      </c>
      <c r="C45" s="7" t="inlineStr"/>
      <c r="D45" s="7" t="n">
        <v>8</v>
      </c>
      <c r="E45" s="7" t="n">
        <v>260</v>
      </c>
      <c r="F45" s="7" t="n">
        <v>300</v>
      </c>
    </row>
    <row r="46">
      <c r="A46" s="6" t="inlineStr">
        <is>
          <t>twin</t>
        </is>
      </c>
      <c r="B46" s="6" t="inlineStr">
        <is>
          <t>pad</t>
        </is>
      </c>
      <c r="C46" s="7" t="inlineStr"/>
      <c r="D46" s="7" t="n">
        <v>9</v>
      </c>
      <c r="E46" s="7" t="n">
        <v>20</v>
      </c>
      <c r="F46" s="7" t="n">
        <v>300</v>
      </c>
    </row>
    <row r="47">
      <c r="A47" s="6" t="inlineStr">
        <is>
          <t>twin</t>
        </is>
      </c>
      <c r="B47" s="6" t="inlineStr">
        <is>
          <t>pad</t>
        </is>
      </c>
      <c r="C47" s="7" t="inlineStr"/>
      <c r="D47" s="7" t="n">
        <v>10</v>
      </c>
      <c r="E47" s="7" t="n">
        <v>340</v>
      </c>
      <c r="F47" s="7" t="n">
        <v>300</v>
      </c>
    </row>
    <row r="48">
      <c r="A48" s="6" t="inlineStr">
        <is>
          <t>twin</t>
        </is>
      </c>
      <c r="B48" s="6" t="inlineStr">
        <is>
          <t>pad</t>
        </is>
      </c>
      <c r="C48" s="7" t="inlineStr"/>
      <c r="D48" s="7" t="n">
        <v>11</v>
      </c>
      <c r="E48" s="7" t="n">
        <v>100</v>
      </c>
      <c r="F48" s="7" t="n">
        <v>500</v>
      </c>
    </row>
    <row r="49">
      <c r="A49" s="6" t="inlineStr">
        <is>
          <t>twin</t>
        </is>
      </c>
      <c r="B49" s="6" t="inlineStr">
        <is>
          <t>pad</t>
        </is>
      </c>
      <c r="C49" s="7" t="inlineStr"/>
      <c r="D49" s="7" t="n">
        <v>12</v>
      </c>
      <c r="E49" s="7" t="n">
        <v>180</v>
      </c>
      <c r="F49" s="7" t="n">
        <v>500</v>
      </c>
    </row>
    <row r="50">
      <c r="A50" s="6" t="inlineStr">
        <is>
          <t>twin</t>
        </is>
      </c>
      <c r="B50" s="6" t="inlineStr">
        <is>
          <t>pad</t>
        </is>
      </c>
      <c r="C50" s="7" t="inlineStr"/>
      <c r="D50" s="7" t="n">
        <v>13</v>
      </c>
      <c r="E50" s="7" t="n">
        <v>260</v>
      </c>
      <c r="F50" s="7" t="n">
        <v>500</v>
      </c>
    </row>
    <row r="51">
      <c r="A51" s="6" t="inlineStr">
        <is>
          <t>fork</t>
        </is>
      </c>
      <c r="B51" s="6" t="inlineStr">
        <is>
          <t>path</t>
        </is>
      </c>
      <c r="C51" s="7" t="n">
        <v>1</v>
      </c>
      <c r="D51" s="7" t="n">
        <v>1</v>
      </c>
      <c r="E51" s="7" t="n">
        <v>180</v>
      </c>
      <c r="F51" s="7" t="n">
        <v>-24</v>
      </c>
    </row>
    <row r="52">
      <c r="A52" s="6" t="inlineStr">
        <is>
          <t>fork</t>
        </is>
      </c>
      <c r="B52" s="6" t="inlineStr">
        <is>
          <t>path</t>
        </is>
      </c>
      <c r="C52" s="7" t="n">
        <v>1</v>
      </c>
      <c r="D52" s="7" t="n">
        <v>2</v>
      </c>
      <c r="E52" s="7" t="n">
        <v>180</v>
      </c>
      <c r="F52" s="7" t="n">
        <v>180</v>
      </c>
    </row>
    <row r="53">
      <c r="A53" s="6" t="inlineStr">
        <is>
          <t>fork</t>
        </is>
      </c>
      <c r="B53" s="6" t="inlineStr">
        <is>
          <t>path</t>
        </is>
      </c>
      <c r="C53" s="7" t="n">
        <v>1</v>
      </c>
      <c r="D53" s="7" t="n">
        <v>3</v>
      </c>
      <c r="E53" s="7" t="n">
        <v>60</v>
      </c>
      <c r="F53" s="7" t="n">
        <v>180</v>
      </c>
    </row>
    <row r="54">
      <c r="A54" s="6" t="inlineStr">
        <is>
          <t>fork</t>
        </is>
      </c>
      <c r="B54" s="6" t="inlineStr">
        <is>
          <t>path</t>
        </is>
      </c>
      <c r="C54" s="7" t="n">
        <v>1</v>
      </c>
      <c r="D54" s="7" t="n">
        <v>4</v>
      </c>
      <c r="E54" s="7" t="n">
        <v>60</v>
      </c>
      <c r="F54" s="7" t="n">
        <v>400</v>
      </c>
    </row>
    <row r="55">
      <c r="A55" s="6" t="inlineStr">
        <is>
          <t>fork</t>
        </is>
      </c>
      <c r="B55" s="6" t="inlineStr">
        <is>
          <t>path</t>
        </is>
      </c>
      <c r="C55" s="7" t="n">
        <v>1</v>
      </c>
      <c r="D55" s="7" t="n">
        <v>5</v>
      </c>
      <c r="E55" s="7" t="n">
        <v>140</v>
      </c>
      <c r="F55" s="7" t="n">
        <v>400</v>
      </c>
    </row>
    <row r="56">
      <c r="A56" s="6" t="inlineStr">
        <is>
          <t>fork</t>
        </is>
      </c>
      <c r="B56" s="6" t="inlineStr">
        <is>
          <t>path</t>
        </is>
      </c>
      <c r="C56" s="7" t="n">
        <v>1</v>
      </c>
      <c r="D56" s="7" t="n">
        <v>6</v>
      </c>
      <c r="E56" s="7" t="n">
        <v>140</v>
      </c>
      <c r="F56" s="7" t="n">
        <v>624</v>
      </c>
    </row>
    <row r="57">
      <c r="A57" s="6" t="inlineStr">
        <is>
          <t>fork</t>
        </is>
      </c>
      <c r="B57" s="6" t="inlineStr">
        <is>
          <t>path</t>
        </is>
      </c>
      <c r="C57" s="7" t="n">
        <v>2</v>
      </c>
      <c r="D57" s="7" t="n">
        <v>1</v>
      </c>
      <c r="E57" s="7" t="n">
        <v>180</v>
      </c>
      <c r="F57" s="7" t="n">
        <v>-24</v>
      </c>
    </row>
    <row r="58">
      <c r="A58" s="6" t="inlineStr">
        <is>
          <t>fork</t>
        </is>
      </c>
      <c r="B58" s="6" t="inlineStr">
        <is>
          <t>path</t>
        </is>
      </c>
      <c r="C58" s="7" t="n">
        <v>2</v>
      </c>
      <c r="D58" s="7" t="n">
        <v>2</v>
      </c>
      <c r="E58" s="7" t="n">
        <v>180</v>
      </c>
      <c r="F58" s="7" t="n">
        <v>180</v>
      </c>
    </row>
    <row r="59">
      <c r="A59" s="6" t="inlineStr">
        <is>
          <t>fork</t>
        </is>
      </c>
      <c r="B59" s="6" t="inlineStr">
        <is>
          <t>path</t>
        </is>
      </c>
      <c r="C59" s="7" t="n">
        <v>2</v>
      </c>
      <c r="D59" s="7" t="n">
        <v>3</v>
      </c>
      <c r="E59" s="7" t="n">
        <v>300</v>
      </c>
      <c r="F59" s="7" t="n">
        <v>180</v>
      </c>
    </row>
    <row r="60">
      <c r="A60" s="6" t="inlineStr">
        <is>
          <t>fork</t>
        </is>
      </c>
      <c r="B60" s="6" t="inlineStr">
        <is>
          <t>path</t>
        </is>
      </c>
      <c r="C60" s="7" t="n">
        <v>2</v>
      </c>
      <c r="D60" s="7" t="n">
        <v>4</v>
      </c>
      <c r="E60" s="7" t="n">
        <v>300</v>
      </c>
      <c r="F60" s="7" t="n">
        <v>400</v>
      </c>
    </row>
    <row r="61">
      <c r="A61" s="6" t="inlineStr">
        <is>
          <t>fork</t>
        </is>
      </c>
      <c r="B61" s="6" t="inlineStr">
        <is>
          <t>path</t>
        </is>
      </c>
      <c r="C61" s="7" t="n">
        <v>2</v>
      </c>
      <c r="D61" s="7" t="n">
        <v>5</v>
      </c>
      <c r="E61" s="7" t="n">
        <v>220</v>
      </c>
      <c r="F61" s="7" t="n">
        <v>400</v>
      </c>
    </row>
    <row r="62">
      <c r="A62" s="6" t="inlineStr">
        <is>
          <t>fork</t>
        </is>
      </c>
      <c r="B62" s="6" t="inlineStr">
        <is>
          <t>path</t>
        </is>
      </c>
      <c r="C62" s="7" t="n">
        <v>2</v>
      </c>
      <c r="D62" s="7" t="n">
        <v>6</v>
      </c>
      <c r="E62" s="7" t="n">
        <v>220</v>
      </c>
      <c r="F62" s="7" t="n">
        <v>624</v>
      </c>
    </row>
    <row r="63">
      <c r="A63" s="6" t="inlineStr">
        <is>
          <t>fork</t>
        </is>
      </c>
      <c r="B63" s="6" t="inlineStr">
        <is>
          <t>pad</t>
        </is>
      </c>
      <c r="C63" s="7" t="inlineStr"/>
      <c r="D63" s="7" t="n">
        <v>1</v>
      </c>
      <c r="E63" s="7" t="n">
        <v>100</v>
      </c>
      <c r="F63" s="7" t="n">
        <v>100</v>
      </c>
    </row>
    <row r="64">
      <c r="A64" s="6" t="inlineStr">
        <is>
          <t>fork</t>
        </is>
      </c>
      <c r="B64" s="6" t="inlineStr">
        <is>
          <t>pad</t>
        </is>
      </c>
      <c r="C64" s="7" t="inlineStr"/>
      <c r="D64" s="7" t="n">
        <v>2</v>
      </c>
      <c r="E64" s="7" t="n">
        <v>260</v>
      </c>
      <c r="F64" s="7" t="n">
        <v>100</v>
      </c>
    </row>
    <row r="65">
      <c r="A65" s="6" t="inlineStr">
        <is>
          <t>fork</t>
        </is>
      </c>
      <c r="B65" s="6" t="inlineStr">
        <is>
          <t>pad</t>
        </is>
      </c>
      <c r="C65" s="7" t="inlineStr"/>
      <c r="D65" s="7" t="n">
        <v>3</v>
      </c>
      <c r="E65" s="7" t="n">
        <v>20</v>
      </c>
      <c r="F65" s="7" t="n">
        <v>100</v>
      </c>
    </row>
    <row r="66">
      <c r="A66" s="6" t="inlineStr">
        <is>
          <t>fork</t>
        </is>
      </c>
      <c r="B66" s="6" t="inlineStr">
        <is>
          <t>pad</t>
        </is>
      </c>
      <c r="C66" s="7" t="inlineStr"/>
      <c r="D66" s="7" t="n">
        <v>4</v>
      </c>
      <c r="E66" s="7" t="n">
        <v>340</v>
      </c>
      <c r="F66" s="7" t="n">
        <v>100</v>
      </c>
    </row>
    <row r="67">
      <c r="A67" s="6" t="inlineStr">
        <is>
          <t>fork</t>
        </is>
      </c>
      <c r="B67" s="6" t="inlineStr">
        <is>
          <t>pad</t>
        </is>
      </c>
      <c r="C67" s="7" t="inlineStr"/>
      <c r="D67" s="7" t="n">
        <v>5</v>
      </c>
      <c r="E67" s="7" t="n">
        <v>180</v>
      </c>
      <c r="F67" s="7" t="n">
        <v>260</v>
      </c>
    </row>
    <row r="68">
      <c r="A68" s="6" t="inlineStr">
        <is>
          <t>fork</t>
        </is>
      </c>
      <c r="B68" s="6" t="inlineStr">
        <is>
          <t>pad</t>
        </is>
      </c>
      <c r="C68" s="7" t="inlineStr"/>
      <c r="D68" s="7" t="n">
        <v>6</v>
      </c>
      <c r="E68" s="7" t="n">
        <v>180</v>
      </c>
      <c r="F68" s="7" t="n">
        <v>330</v>
      </c>
    </row>
    <row r="69">
      <c r="A69" s="6" t="inlineStr">
        <is>
          <t>fork</t>
        </is>
      </c>
      <c r="B69" s="6" t="inlineStr">
        <is>
          <t>pad</t>
        </is>
      </c>
      <c r="C69" s="7" t="inlineStr"/>
      <c r="D69" s="7" t="n">
        <v>7</v>
      </c>
      <c r="E69" s="7" t="n">
        <v>100</v>
      </c>
      <c r="F69" s="7" t="n">
        <v>290</v>
      </c>
    </row>
    <row r="70">
      <c r="A70" s="6" t="inlineStr">
        <is>
          <t>fork</t>
        </is>
      </c>
      <c r="B70" s="6" t="inlineStr">
        <is>
          <t>pad</t>
        </is>
      </c>
      <c r="C70" s="7" t="inlineStr"/>
      <c r="D70" s="7" t="n">
        <v>8</v>
      </c>
      <c r="E70" s="7" t="n">
        <v>260</v>
      </c>
      <c r="F70" s="7" t="n">
        <v>290</v>
      </c>
    </row>
    <row r="71">
      <c r="A71" s="6" t="inlineStr">
        <is>
          <t>fork</t>
        </is>
      </c>
      <c r="B71" s="6" t="inlineStr">
        <is>
          <t>pad</t>
        </is>
      </c>
      <c r="C71" s="7" t="inlineStr"/>
      <c r="D71" s="7" t="n">
        <v>9</v>
      </c>
      <c r="E71" s="7" t="n">
        <v>180</v>
      </c>
      <c r="F71" s="7" t="n">
        <v>480</v>
      </c>
    </row>
    <row r="72">
      <c r="A72" s="6" t="inlineStr">
        <is>
          <t>fork</t>
        </is>
      </c>
      <c r="B72" s="6" t="inlineStr">
        <is>
          <t>pad</t>
        </is>
      </c>
      <c r="C72" s="7" t="inlineStr"/>
      <c r="D72" s="7" t="n">
        <v>10</v>
      </c>
      <c r="E72" s="7" t="n">
        <v>60</v>
      </c>
      <c r="F72" s="7" t="n">
        <v>500</v>
      </c>
    </row>
    <row r="73">
      <c r="A73" s="6" t="inlineStr">
        <is>
          <t>fork</t>
        </is>
      </c>
      <c r="B73" s="6" t="inlineStr">
        <is>
          <t>pad</t>
        </is>
      </c>
      <c r="C73" s="7" t="inlineStr"/>
      <c r="D73" s="7" t="n">
        <v>11</v>
      </c>
      <c r="E73" s="7" t="n">
        <v>300</v>
      </c>
      <c r="F73" s="7" t="n">
        <v>500</v>
      </c>
    </row>
    <row r="74">
      <c r="A74" s="6" t="inlineStr">
        <is>
          <t>fork</t>
        </is>
      </c>
      <c r="B74" s="6" t="inlineStr">
        <is>
          <t>pad</t>
        </is>
      </c>
      <c r="C74" s="7" t="inlineStr"/>
      <c r="D74" s="7" t="n">
        <v>12</v>
      </c>
      <c r="E74" s="7" t="n">
        <v>180</v>
      </c>
      <c r="F74" s="7" t="n">
        <v>560</v>
      </c>
    </row>
    <row r="75">
      <c r="A75" s="6" t="inlineStr">
        <is>
          <t>merge</t>
        </is>
      </c>
      <c r="B75" s="6" t="inlineStr">
        <is>
          <t>path</t>
        </is>
      </c>
      <c r="C75" s="7" t="n">
        <v>1</v>
      </c>
      <c r="D75" s="7" t="n">
        <v>1</v>
      </c>
      <c r="E75" s="7" t="n">
        <v>-24</v>
      </c>
      <c r="F75" s="7" t="n">
        <v>100</v>
      </c>
    </row>
    <row r="76">
      <c r="A76" s="6" t="inlineStr">
        <is>
          <t>merge</t>
        </is>
      </c>
      <c r="B76" s="6" t="inlineStr">
        <is>
          <t>path</t>
        </is>
      </c>
      <c r="C76" s="7" t="n">
        <v>1</v>
      </c>
      <c r="D76" s="7" t="n">
        <v>2</v>
      </c>
      <c r="E76" s="7" t="n">
        <v>120</v>
      </c>
      <c r="F76" s="7" t="n">
        <v>100</v>
      </c>
    </row>
    <row r="77">
      <c r="A77" s="6" t="inlineStr">
        <is>
          <t>merge</t>
        </is>
      </c>
      <c r="B77" s="6" t="inlineStr">
        <is>
          <t>path</t>
        </is>
      </c>
      <c r="C77" s="7" t="n">
        <v>1</v>
      </c>
      <c r="D77" s="7" t="n">
        <v>3</v>
      </c>
      <c r="E77" s="7" t="n">
        <v>120</v>
      </c>
      <c r="F77" s="7" t="n">
        <v>300</v>
      </c>
    </row>
    <row r="78">
      <c r="A78" s="6" t="inlineStr">
        <is>
          <t>merge</t>
        </is>
      </c>
      <c r="B78" s="6" t="inlineStr">
        <is>
          <t>path</t>
        </is>
      </c>
      <c r="C78" s="7" t="n">
        <v>1</v>
      </c>
      <c r="D78" s="7" t="n">
        <v>4</v>
      </c>
      <c r="E78" s="7" t="n">
        <v>180</v>
      </c>
      <c r="F78" s="7" t="n">
        <v>300</v>
      </c>
    </row>
    <row r="79">
      <c r="A79" s="6" t="inlineStr">
        <is>
          <t>merge</t>
        </is>
      </c>
      <c r="B79" s="6" t="inlineStr">
        <is>
          <t>path</t>
        </is>
      </c>
      <c r="C79" s="7" t="n">
        <v>1</v>
      </c>
      <c r="D79" s="7" t="n">
        <v>5</v>
      </c>
      <c r="E79" s="7" t="n">
        <v>180</v>
      </c>
      <c r="F79" s="7" t="n">
        <v>380</v>
      </c>
    </row>
    <row r="80">
      <c r="A80" s="6" t="inlineStr">
        <is>
          <t>merge</t>
        </is>
      </c>
      <c r="B80" s="6" t="inlineStr">
        <is>
          <t>path</t>
        </is>
      </c>
      <c r="C80" s="7" t="n">
        <v>1</v>
      </c>
      <c r="D80" s="7" t="n">
        <v>6</v>
      </c>
      <c r="E80" s="7" t="n">
        <v>60</v>
      </c>
      <c r="F80" s="7" t="n">
        <v>380</v>
      </c>
    </row>
    <row r="81">
      <c r="A81" s="6" t="inlineStr">
        <is>
          <t>merge</t>
        </is>
      </c>
      <c r="B81" s="6" t="inlineStr">
        <is>
          <t>path</t>
        </is>
      </c>
      <c r="C81" s="7" t="n">
        <v>1</v>
      </c>
      <c r="D81" s="7" t="n">
        <v>7</v>
      </c>
      <c r="E81" s="7" t="n">
        <v>60</v>
      </c>
      <c r="F81" s="7" t="n">
        <v>500</v>
      </c>
    </row>
    <row r="82">
      <c r="A82" s="6" t="inlineStr">
        <is>
          <t>merge</t>
        </is>
      </c>
      <c r="B82" s="6" t="inlineStr">
        <is>
          <t>path</t>
        </is>
      </c>
      <c r="C82" s="7" t="n">
        <v>1</v>
      </c>
      <c r="D82" s="7" t="n">
        <v>8</v>
      </c>
      <c r="E82" s="7" t="n">
        <v>300</v>
      </c>
      <c r="F82" s="7" t="n">
        <v>500</v>
      </c>
    </row>
    <row r="83">
      <c r="A83" s="6" t="inlineStr">
        <is>
          <t>merge</t>
        </is>
      </c>
      <c r="B83" s="6" t="inlineStr">
        <is>
          <t>path</t>
        </is>
      </c>
      <c r="C83" s="7" t="n">
        <v>1</v>
      </c>
      <c r="D83" s="7" t="n">
        <v>9</v>
      </c>
      <c r="E83" s="7" t="n">
        <v>300</v>
      </c>
      <c r="F83" s="7" t="n">
        <v>624</v>
      </c>
    </row>
    <row r="84">
      <c r="A84" s="6" t="inlineStr">
        <is>
          <t>merge</t>
        </is>
      </c>
      <c r="B84" s="6" t="inlineStr">
        <is>
          <t>path</t>
        </is>
      </c>
      <c r="C84" s="7" t="n">
        <v>2</v>
      </c>
      <c r="D84" s="7" t="n">
        <v>1</v>
      </c>
      <c r="E84" s="7" t="n">
        <v>384</v>
      </c>
      <c r="F84" s="7" t="n">
        <v>100</v>
      </c>
    </row>
    <row r="85">
      <c r="A85" s="6" t="inlineStr">
        <is>
          <t>merge</t>
        </is>
      </c>
      <c r="B85" s="6" t="inlineStr">
        <is>
          <t>path</t>
        </is>
      </c>
      <c r="C85" s="7" t="n">
        <v>2</v>
      </c>
      <c r="D85" s="7" t="n">
        <v>2</v>
      </c>
      <c r="E85" s="7" t="n">
        <v>240</v>
      </c>
      <c r="F85" s="7" t="n">
        <v>100</v>
      </c>
    </row>
    <row r="86">
      <c r="A86" s="6" t="inlineStr">
        <is>
          <t>merge</t>
        </is>
      </c>
      <c r="B86" s="6" t="inlineStr">
        <is>
          <t>path</t>
        </is>
      </c>
      <c r="C86" s="7" t="n">
        <v>2</v>
      </c>
      <c r="D86" s="7" t="n">
        <v>3</v>
      </c>
      <c r="E86" s="7" t="n">
        <v>240</v>
      </c>
      <c r="F86" s="7" t="n">
        <v>300</v>
      </c>
    </row>
    <row r="87">
      <c r="A87" s="6" t="inlineStr">
        <is>
          <t>merge</t>
        </is>
      </c>
      <c r="B87" s="6" t="inlineStr">
        <is>
          <t>path</t>
        </is>
      </c>
      <c r="C87" s="7" t="n">
        <v>2</v>
      </c>
      <c r="D87" s="7" t="n">
        <v>4</v>
      </c>
      <c r="E87" s="7" t="n">
        <v>180</v>
      </c>
      <c r="F87" s="7" t="n">
        <v>300</v>
      </c>
    </row>
    <row r="88">
      <c r="A88" s="6" t="inlineStr">
        <is>
          <t>merge</t>
        </is>
      </c>
      <c r="B88" s="6" t="inlineStr">
        <is>
          <t>path</t>
        </is>
      </c>
      <c r="C88" s="7" t="n">
        <v>2</v>
      </c>
      <c r="D88" s="7" t="n">
        <v>5</v>
      </c>
      <c r="E88" s="7" t="n">
        <v>180</v>
      </c>
      <c r="F88" s="7" t="n">
        <v>380</v>
      </c>
    </row>
    <row r="89">
      <c r="A89" s="6" t="inlineStr">
        <is>
          <t>merge</t>
        </is>
      </c>
      <c r="B89" s="6" t="inlineStr">
        <is>
          <t>path</t>
        </is>
      </c>
      <c r="C89" s="7" t="n">
        <v>2</v>
      </c>
      <c r="D89" s="7" t="n">
        <v>6</v>
      </c>
      <c r="E89" s="7" t="n">
        <v>60</v>
      </c>
      <c r="F89" s="7" t="n">
        <v>380</v>
      </c>
    </row>
    <row r="90">
      <c r="A90" s="6" t="inlineStr">
        <is>
          <t>merge</t>
        </is>
      </c>
      <c r="B90" s="6" t="inlineStr">
        <is>
          <t>path</t>
        </is>
      </c>
      <c r="C90" s="7" t="n">
        <v>2</v>
      </c>
      <c r="D90" s="7" t="n">
        <v>7</v>
      </c>
      <c r="E90" s="7" t="n">
        <v>60</v>
      </c>
      <c r="F90" s="7" t="n">
        <v>500</v>
      </c>
    </row>
    <row r="91">
      <c r="A91" s="6" t="inlineStr">
        <is>
          <t>merge</t>
        </is>
      </c>
      <c r="B91" s="6" t="inlineStr">
        <is>
          <t>path</t>
        </is>
      </c>
      <c r="C91" s="7" t="n">
        <v>2</v>
      </c>
      <c r="D91" s="7" t="n">
        <v>8</v>
      </c>
      <c r="E91" s="7" t="n">
        <v>300</v>
      </c>
      <c r="F91" s="7" t="n">
        <v>500</v>
      </c>
    </row>
    <row r="92">
      <c r="A92" s="6" t="inlineStr">
        <is>
          <t>merge</t>
        </is>
      </c>
      <c r="B92" s="6" t="inlineStr">
        <is>
          <t>path</t>
        </is>
      </c>
      <c r="C92" s="7" t="n">
        <v>2</v>
      </c>
      <c r="D92" s="7" t="n">
        <v>9</v>
      </c>
      <c r="E92" s="7" t="n">
        <v>300</v>
      </c>
      <c r="F92" s="7" t="n">
        <v>624</v>
      </c>
    </row>
    <row r="93">
      <c r="A93" s="6" t="inlineStr">
        <is>
          <t>merge</t>
        </is>
      </c>
      <c r="B93" s="6" t="inlineStr">
        <is>
          <t>pad</t>
        </is>
      </c>
      <c r="C93" s="7" t="inlineStr"/>
      <c r="D93" s="7" t="n">
        <v>1</v>
      </c>
      <c r="E93" s="7" t="n">
        <v>60</v>
      </c>
      <c r="F93" s="7" t="n">
        <v>200</v>
      </c>
    </row>
    <row r="94">
      <c r="A94" s="6" t="inlineStr">
        <is>
          <t>merge</t>
        </is>
      </c>
      <c r="B94" s="6" t="inlineStr">
        <is>
          <t>pad</t>
        </is>
      </c>
      <c r="C94" s="7" t="inlineStr"/>
      <c r="D94" s="7" t="n">
        <v>2</v>
      </c>
      <c r="E94" s="7" t="n">
        <v>300</v>
      </c>
      <c r="F94" s="7" t="n">
        <v>200</v>
      </c>
    </row>
    <row r="95">
      <c r="A95" s="6" t="inlineStr">
        <is>
          <t>merge</t>
        </is>
      </c>
      <c r="B95" s="6" t="inlineStr">
        <is>
          <t>pad</t>
        </is>
      </c>
      <c r="C95" s="7" t="inlineStr"/>
      <c r="D95" s="7" t="n">
        <v>3</v>
      </c>
      <c r="E95" s="7" t="n">
        <v>180</v>
      </c>
      <c r="F95" s="7" t="n">
        <v>200</v>
      </c>
    </row>
    <row r="96">
      <c r="A96" s="6" t="inlineStr">
        <is>
          <t>merge</t>
        </is>
      </c>
      <c r="B96" s="6" t="inlineStr">
        <is>
          <t>pad</t>
        </is>
      </c>
      <c r="C96" s="7" t="inlineStr"/>
      <c r="D96" s="7" t="n">
        <v>4</v>
      </c>
      <c r="E96" s="7" t="n">
        <v>180</v>
      </c>
      <c r="F96" s="7" t="n">
        <v>40</v>
      </c>
    </row>
    <row r="97">
      <c r="A97" s="6" t="inlineStr">
        <is>
          <t>merge</t>
        </is>
      </c>
      <c r="B97" s="6" t="inlineStr">
        <is>
          <t>pad</t>
        </is>
      </c>
      <c r="C97" s="7" t="inlineStr"/>
      <c r="D97" s="7" t="n">
        <v>5</v>
      </c>
      <c r="E97" s="7" t="n">
        <v>40</v>
      </c>
      <c r="F97" s="7" t="n">
        <v>40</v>
      </c>
    </row>
    <row r="98">
      <c r="A98" s="6" t="inlineStr">
        <is>
          <t>merge</t>
        </is>
      </c>
      <c r="B98" s="6" t="inlineStr">
        <is>
          <t>pad</t>
        </is>
      </c>
      <c r="C98" s="7" t="inlineStr"/>
      <c r="D98" s="7" t="n">
        <v>6</v>
      </c>
      <c r="E98" s="7" t="n">
        <v>320</v>
      </c>
      <c r="F98" s="7" t="n">
        <v>40</v>
      </c>
    </row>
    <row r="99">
      <c r="A99" s="6" t="inlineStr">
        <is>
          <t>merge</t>
        </is>
      </c>
      <c r="B99" s="6" t="inlineStr">
        <is>
          <t>pad</t>
        </is>
      </c>
      <c r="C99" s="7" t="inlineStr"/>
      <c r="D99" s="7" t="n">
        <v>7</v>
      </c>
      <c r="E99" s="7" t="n">
        <v>120</v>
      </c>
      <c r="F99" s="7" t="n">
        <v>440</v>
      </c>
    </row>
    <row r="100">
      <c r="A100" s="6" t="inlineStr">
        <is>
          <t>merge</t>
        </is>
      </c>
      <c r="B100" s="6" t="inlineStr">
        <is>
          <t>pad</t>
        </is>
      </c>
      <c r="C100" s="7" t="inlineStr"/>
      <c r="D100" s="7" t="n">
        <v>8</v>
      </c>
      <c r="E100" s="7" t="n">
        <v>240</v>
      </c>
      <c r="F100" s="7" t="n">
        <v>440</v>
      </c>
    </row>
    <row r="101">
      <c r="A101" s="6" t="inlineStr">
        <is>
          <t>merge</t>
        </is>
      </c>
      <c r="B101" s="6" t="inlineStr">
        <is>
          <t>pad</t>
        </is>
      </c>
      <c r="C101" s="7" t="inlineStr"/>
      <c r="D101" s="7" t="n">
        <v>9</v>
      </c>
      <c r="E101" s="7" t="n">
        <v>60</v>
      </c>
      <c r="F101" s="7" t="n">
        <v>300</v>
      </c>
    </row>
    <row r="102">
      <c r="A102" s="6" t="inlineStr">
        <is>
          <t>merge</t>
        </is>
      </c>
      <c r="B102" s="6" t="inlineStr">
        <is>
          <t>pad</t>
        </is>
      </c>
      <c r="C102" s="7" t="inlineStr"/>
      <c r="D102" s="7" t="n">
        <v>10</v>
      </c>
      <c r="E102" s="7" t="n">
        <v>300</v>
      </c>
      <c r="F102" s="7" t="n">
        <v>300</v>
      </c>
    </row>
    <row r="103">
      <c r="A103" s="6" t="inlineStr">
        <is>
          <t>merge</t>
        </is>
      </c>
      <c r="B103" s="6" t="inlineStr">
        <is>
          <t>pad</t>
        </is>
      </c>
      <c r="C103" s="7" t="inlineStr"/>
      <c r="D103" s="7" t="n">
        <v>11</v>
      </c>
      <c r="E103" s="7" t="n">
        <v>180</v>
      </c>
      <c r="F103" s="7" t="n">
        <v>560</v>
      </c>
    </row>
    <row r="104">
      <c r="A104" s="6" t="inlineStr">
        <is>
          <t>merge</t>
        </is>
      </c>
      <c r="B104" s="6" t="inlineStr">
        <is>
          <t>pad</t>
        </is>
      </c>
      <c r="C104" s="7" t="inlineStr"/>
      <c r="D104" s="7" t="n">
        <v>12</v>
      </c>
      <c r="E104" s="7" t="n">
        <v>60</v>
      </c>
      <c r="F104" s="7" t="n">
        <v>570</v>
      </c>
    </row>
    <row r="105">
      <c r="A105" s="6" t="inlineStr">
        <is>
          <t>cross</t>
        </is>
      </c>
      <c r="B105" s="6" t="inlineStr">
        <is>
          <t>path</t>
        </is>
      </c>
      <c r="C105" s="7" t="n">
        <v>1</v>
      </c>
      <c r="D105" s="7" t="n">
        <v>1</v>
      </c>
      <c r="E105" s="7" t="n">
        <v>100</v>
      </c>
      <c r="F105" s="7" t="n">
        <v>-24</v>
      </c>
    </row>
    <row r="106">
      <c r="A106" s="6" t="inlineStr">
        <is>
          <t>cross</t>
        </is>
      </c>
      <c r="B106" s="6" t="inlineStr">
        <is>
          <t>path</t>
        </is>
      </c>
      <c r="C106" s="7" t="n">
        <v>1</v>
      </c>
      <c r="D106" s="7" t="n">
        <v>2</v>
      </c>
      <c r="E106" s="7" t="n">
        <v>100</v>
      </c>
      <c r="F106" s="7" t="n">
        <v>200</v>
      </c>
    </row>
    <row r="107">
      <c r="A107" s="6" t="inlineStr">
        <is>
          <t>cross</t>
        </is>
      </c>
      <c r="B107" s="6" t="inlineStr">
        <is>
          <t>path</t>
        </is>
      </c>
      <c r="C107" s="7" t="n">
        <v>1</v>
      </c>
      <c r="D107" s="7" t="n">
        <v>3</v>
      </c>
      <c r="E107" s="7" t="n">
        <v>260</v>
      </c>
      <c r="F107" s="7" t="n">
        <v>200</v>
      </c>
    </row>
    <row r="108">
      <c r="A108" s="6" t="inlineStr">
        <is>
          <t>cross</t>
        </is>
      </c>
      <c r="B108" s="6" t="inlineStr">
        <is>
          <t>path</t>
        </is>
      </c>
      <c r="C108" s="7" t="n">
        <v>1</v>
      </c>
      <c r="D108" s="7" t="n">
        <v>4</v>
      </c>
      <c r="E108" s="7" t="n">
        <v>260</v>
      </c>
      <c r="F108" s="7" t="n">
        <v>624</v>
      </c>
    </row>
    <row r="109">
      <c r="A109" s="6" t="inlineStr">
        <is>
          <t>cross</t>
        </is>
      </c>
      <c r="B109" s="6" t="inlineStr">
        <is>
          <t>path</t>
        </is>
      </c>
      <c r="C109" s="7" t="n">
        <v>2</v>
      </c>
      <c r="D109" s="7" t="n">
        <v>1</v>
      </c>
      <c r="E109" s="7" t="n">
        <v>-24</v>
      </c>
      <c r="F109" s="7" t="n">
        <v>320</v>
      </c>
    </row>
    <row r="110">
      <c r="A110" s="6" t="inlineStr">
        <is>
          <t>cross</t>
        </is>
      </c>
      <c r="B110" s="6" t="inlineStr">
        <is>
          <t>path</t>
        </is>
      </c>
      <c r="C110" s="7" t="n">
        <v>2</v>
      </c>
      <c r="D110" s="7" t="n">
        <v>2</v>
      </c>
      <c r="E110" s="7" t="n">
        <v>180</v>
      </c>
      <c r="F110" s="7" t="n">
        <v>320</v>
      </c>
    </row>
    <row r="111">
      <c r="A111" s="6" t="inlineStr">
        <is>
          <t>cross</t>
        </is>
      </c>
      <c r="B111" s="6" t="inlineStr">
        <is>
          <t>path</t>
        </is>
      </c>
      <c r="C111" s="7" t="n">
        <v>2</v>
      </c>
      <c r="D111" s="7" t="n">
        <v>3</v>
      </c>
      <c r="E111" s="7" t="n">
        <v>180</v>
      </c>
      <c r="F111" s="7" t="n">
        <v>480</v>
      </c>
    </row>
    <row r="112">
      <c r="A112" s="6" t="inlineStr">
        <is>
          <t>cross</t>
        </is>
      </c>
      <c r="B112" s="6" t="inlineStr">
        <is>
          <t>path</t>
        </is>
      </c>
      <c r="C112" s="7" t="n">
        <v>2</v>
      </c>
      <c r="D112" s="7" t="n">
        <v>4</v>
      </c>
      <c r="E112" s="7" t="n">
        <v>384</v>
      </c>
      <c r="F112" s="7" t="n">
        <v>480</v>
      </c>
    </row>
    <row r="113">
      <c r="A113" s="6" t="inlineStr">
        <is>
          <t>cross</t>
        </is>
      </c>
      <c r="B113" s="6" t="inlineStr">
        <is>
          <t>pad</t>
        </is>
      </c>
      <c r="C113" s="7" t="inlineStr"/>
      <c r="D113" s="7" t="n">
        <v>1</v>
      </c>
      <c r="E113" s="7" t="n">
        <v>180</v>
      </c>
      <c r="F113" s="7" t="n">
        <v>100</v>
      </c>
    </row>
    <row r="114">
      <c r="A114" s="6" t="inlineStr">
        <is>
          <t>cross</t>
        </is>
      </c>
      <c r="B114" s="6" t="inlineStr">
        <is>
          <t>pad</t>
        </is>
      </c>
      <c r="C114" s="7" t="inlineStr"/>
      <c r="D114" s="7" t="n">
        <v>2</v>
      </c>
      <c r="E114" s="7" t="n">
        <v>40</v>
      </c>
      <c r="F114" s="7" t="n">
        <v>120</v>
      </c>
    </row>
    <row r="115">
      <c r="A115" s="6" t="inlineStr">
        <is>
          <t>cross</t>
        </is>
      </c>
      <c r="B115" s="6" t="inlineStr">
        <is>
          <t>pad</t>
        </is>
      </c>
      <c r="C115" s="7" t="inlineStr"/>
      <c r="D115" s="7" t="n">
        <v>3</v>
      </c>
      <c r="E115" s="7" t="n">
        <v>330</v>
      </c>
      <c r="F115" s="7" t="n">
        <v>120</v>
      </c>
    </row>
    <row r="116">
      <c r="A116" s="6" t="inlineStr">
        <is>
          <t>cross</t>
        </is>
      </c>
      <c r="B116" s="6" t="inlineStr">
        <is>
          <t>pad</t>
        </is>
      </c>
      <c r="C116" s="7" t="inlineStr"/>
      <c r="D116" s="7" t="n">
        <v>4</v>
      </c>
      <c r="E116" s="7" t="n">
        <v>180</v>
      </c>
      <c r="F116" s="7" t="n">
        <v>260</v>
      </c>
    </row>
    <row r="117">
      <c r="A117" s="6" t="inlineStr">
        <is>
          <t>cross</t>
        </is>
      </c>
      <c r="B117" s="6" t="inlineStr">
        <is>
          <t>pad</t>
        </is>
      </c>
      <c r="C117" s="7" t="inlineStr"/>
      <c r="D117" s="7" t="n">
        <v>5</v>
      </c>
      <c r="E117" s="7" t="n">
        <v>320</v>
      </c>
      <c r="F117" s="7" t="n">
        <v>300</v>
      </c>
    </row>
    <row r="118">
      <c r="A118" s="6" t="inlineStr">
        <is>
          <t>cross</t>
        </is>
      </c>
      <c r="B118" s="6" t="inlineStr">
        <is>
          <t>pad</t>
        </is>
      </c>
      <c r="C118" s="7" t="inlineStr"/>
      <c r="D118" s="7" t="n">
        <v>6</v>
      </c>
      <c r="E118" s="7" t="n">
        <v>60</v>
      </c>
      <c r="F118" s="7" t="n">
        <v>400</v>
      </c>
    </row>
    <row r="119">
      <c r="A119" s="6" t="inlineStr">
        <is>
          <t>cross</t>
        </is>
      </c>
      <c r="B119" s="6" t="inlineStr">
        <is>
          <t>pad</t>
        </is>
      </c>
      <c r="C119" s="7" t="inlineStr"/>
      <c r="D119" s="7" t="n">
        <v>7</v>
      </c>
      <c r="E119" s="7" t="n">
        <v>120</v>
      </c>
      <c r="F119" s="7" t="n">
        <v>400</v>
      </c>
    </row>
    <row r="120">
      <c r="A120" s="6" t="inlineStr">
        <is>
          <t>cross</t>
        </is>
      </c>
      <c r="B120" s="6" t="inlineStr">
        <is>
          <t>pad</t>
        </is>
      </c>
      <c r="C120" s="7" t="inlineStr"/>
      <c r="D120" s="7" t="n">
        <v>8</v>
      </c>
      <c r="E120" s="7" t="n">
        <v>220</v>
      </c>
      <c r="F120" s="7" t="n">
        <v>400</v>
      </c>
    </row>
    <row r="121">
      <c r="A121" s="6" t="inlineStr">
        <is>
          <t>cross</t>
        </is>
      </c>
      <c r="B121" s="6" t="inlineStr">
        <is>
          <t>pad</t>
        </is>
      </c>
      <c r="C121" s="7" t="inlineStr"/>
      <c r="D121" s="7" t="n">
        <v>9</v>
      </c>
      <c r="E121" s="7" t="n">
        <v>320</v>
      </c>
      <c r="F121" s="7" t="n">
        <v>400</v>
      </c>
    </row>
    <row r="122">
      <c r="A122" s="6" t="inlineStr">
        <is>
          <t>cross</t>
        </is>
      </c>
      <c r="B122" s="6" t="inlineStr">
        <is>
          <t>pad</t>
        </is>
      </c>
      <c r="C122" s="7" t="inlineStr"/>
      <c r="D122" s="7" t="n">
        <v>10</v>
      </c>
      <c r="E122" s="7" t="n">
        <v>100</v>
      </c>
      <c r="F122" s="7" t="n">
        <v>560</v>
      </c>
    </row>
    <row r="123">
      <c r="A123" s="6" t="inlineStr">
        <is>
          <t>cross</t>
        </is>
      </c>
      <c r="B123" s="6" t="inlineStr">
        <is>
          <t>pad</t>
        </is>
      </c>
      <c r="C123" s="7" t="inlineStr"/>
      <c r="D123" s="7" t="n">
        <v>11</v>
      </c>
      <c r="E123" s="7" t="n">
        <v>200</v>
      </c>
      <c r="F123" s="7" t="n">
        <v>560</v>
      </c>
    </row>
    <row r="124">
      <c r="A124" s="6" t="inlineStr">
        <is>
          <t>cross</t>
        </is>
      </c>
      <c r="B124" s="6" t="inlineStr">
        <is>
          <t>pad</t>
        </is>
      </c>
      <c r="C124" s="7" t="inlineStr"/>
      <c r="D124" s="7" t="n">
        <v>12</v>
      </c>
      <c r="E124" s="7" t="n">
        <v>320</v>
      </c>
      <c r="F124" s="7" t="n">
        <v>560</v>
      </c>
    </row>
    <row r="125">
      <c r="A125" s="6" t="inlineStr">
        <is>
          <t>trident</t>
        </is>
      </c>
      <c r="B125" s="6" t="inlineStr">
        <is>
          <t>path</t>
        </is>
      </c>
      <c r="C125" s="7" t="n">
        <v>1</v>
      </c>
      <c r="D125" s="7" t="n">
        <v>1</v>
      </c>
      <c r="E125" s="7" t="n">
        <v>-24</v>
      </c>
      <c r="F125" s="7" t="n">
        <v>120</v>
      </c>
    </row>
    <row r="126">
      <c r="A126" s="6" t="inlineStr">
        <is>
          <t>trident</t>
        </is>
      </c>
      <c r="B126" s="6" t="inlineStr">
        <is>
          <t>path</t>
        </is>
      </c>
      <c r="C126" s="7" t="n">
        <v>1</v>
      </c>
      <c r="D126" s="7" t="n">
        <v>2</v>
      </c>
      <c r="E126" s="7" t="n">
        <v>100</v>
      </c>
      <c r="F126" s="7" t="n">
        <v>120</v>
      </c>
    </row>
    <row r="127">
      <c r="A127" s="6" t="inlineStr">
        <is>
          <t>trident</t>
        </is>
      </c>
      <c r="B127" s="6" t="inlineStr">
        <is>
          <t>path</t>
        </is>
      </c>
      <c r="C127" s="7" t="n">
        <v>1</v>
      </c>
      <c r="D127" s="7" t="n">
        <v>3</v>
      </c>
      <c r="E127" s="7" t="n">
        <v>100</v>
      </c>
      <c r="F127" s="7" t="n">
        <v>360</v>
      </c>
    </row>
    <row r="128">
      <c r="A128" s="6" t="inlineStr">
        <is>
          <t>trident</t>
        </is>
      </c>
      <c r="B128" s="6" t="inlineStr">
        <is>
          <t>path</t>
        </is>
      </c>
      <c r="C128" s="7" t="n">
        <v>1</v>
      </c>
      <c r="D128" s="7" t="n">
        <v>4</v>
      </c>
      <c r="E128" s="7" t="n">
        <v>180</v>
      </c>
      <c r="F128" s="7" t="n">
        <v>360</v>
      </c>
    </row>
    <row r="129">
      <c r="A129" s="6" t="inlineStr">
        <is>
          <t>trident</t>
        </is>
      </c>
      <c r="B129" s="6" t="inlineStr">
        <is>
          <t>path</t>
        </is>
      </c>
      <c r="C129" s="7" t="n">
        <v>1</v>
      </c>
      <c r="D129" s="7" t="n">
        <v>5</v>
      </c>
      <c r="E129" s="7" t="n">
        <v>180</v>
      </c>
      <c r="F129" s="7" t="n">
        <v>624</v>
      </c>
    </row>
    <row r="130">
      <c r="A130" s="6" t="inlineStr">
        <is>
          <t>trident</t>
        </is>
      </c>
      <c r="B130" s="6" t="inlineStr">
        <is>
          <t>path</t>
        </is>
      </c>
      <c r="C130" s="7" t="n">
        <v>2</v>
      </c>
      <c r="D130" s="7" t="n">
        <v>1</v>
      </c>
      <c r="E130" s="7" t="n">
        <v>180</v>
      </c>
      <c r="F130" s="7" t="n">
        <v>-24</v>
      </c>
    </row>
    <row r="131">
      <c r="A131" s="6" t="inlineStr">
        <is>
          <t>trident</t>
        </is>
      </c>
      <c r="B131" s="6" t="inlineStr">
        <is>
          <t>path</t>
        </is>
      </c>
      <c r="C131" s="7" t="n">
        <v>2</v>
      </c>
      <c r="D131" s="7" t="n">
        <v>2</v>
      </c>
      <c r="E131" s="7" t="n">
        <v>180</v>
      </c>
      <c r="F131" s="7" t="n">
        <v>624</v>
      </c>
    </row>
    <row r="132">
      <c r="A132" s="6" t="inlineStr">
        <is>
          <t>trident</t>
        </is>
      </c>
      <c r="B132" s="6" t="inlineStr">
        <is>
          <t>path</t>
        </is>
      </c>
      <c r="C132" s="7" t="n">
        <v>3</v>
      </c>
      <c r="D132" s="7" t="n">
        <v>1</v>
      </c>
      <c r="E132" s="7" t="n">
        <v>384</v>
      </c>
      <c r="F132" s="7" t="n">
        <v>120</v>
      </c>
    </row>
    <row r="133">
      <c r="A133" s="6" t="inlineStr">
        <is>
          <t>trident</t>
        </is>
      </c>
      <c r="B133" s="6" t="inlineStr">
        <is>
          <t>path</t>
        </is>
      </c>
      <c r="C133" s="7" t="n">
        <v>3</v>
      </c>
      <c r="D133" s="7" t="n">
        <v>2</v>
      </c>
      <c r="E133" s="7" t="n">
        <v>260</v>
      </c>
      <c r="F133" s="7" t="n">
        <v>120</v>
      </c>
    </row>
    <row r="134">
      <c r="A134" s="6" t="inlineStr">
        <is>
          <t>trident</t>
        </is>
      </c>
      <c r="B134" s="6" t="inlineStr">
        <is>
          <t>path</t>
        </is>
      </c>
      <c r="C134" s="7" t="n">
        <v>3</v>
      </c>
      <c r="D134" s="7" t="n">
        <v>3</v>
      </c>
      <c r="E134" s="7" t="n">
        <v>260</v>
      </c>
      <c r="F134" s="7" t="n">
        <v>360</v>
      </c>
    </row>
    <row r="135">
      <c r="A135" s="6" t="inlineStr">
        <is>
          <t>trident</t>
        </is>
      </c>
      <c r="B135" s="6" t="inlineStr">
        <is>
          <t>path</t>
        </is>
      </c>
      <c r="C135" s="7" t="n">
        <v>3</v>
      </c>
      <c r="D135" s="7" t="n">
        <v>4</v>
      </c>
      <c r="E135" s="7" t="n">
        <v>180</v>
      </c>
      <c r="F135" s="7" t="n">
        <v>360</v>
      </c>
    </row>
    <row r="136">
      <c r="A136" s="6" t="inlineStr">
        <is>
          <t>trident</t>
        </is>
      </c>
      <c r="B136" s="6" t="inlineStr">
        <is>
          <t>path</t>
        </is>
      </c>
      <c r="C136" s="7" t="n">
        <v>3</v>
      </c>
      <c r="D136" s="7" t="n">
        <v>5</v>
      </c>
      <c r="E136" s="7" t="n">
        <v>180</v>
      </c>
      <c r="F136" s="7" t="n">
        <v>624</v>
      </c>
    </row>
    <row r="137">
      <c r="A137" s="6" t="inlineStr">
        <is>
          <t>trident</t>
        </is>
      </c>
      <c r="B137" s="6" t="inlineStr">
        <is>
          <t>pad</t>
        </is>
      </c>
      <c r="C137" s="7" t="inlineStr"/>
      <c r="D137" s="7" t="n">
        <v>1</v>
      </c>
      <c r="E137" s="7" t="n">
        <v>40</v>
      </c>
      <c r="F137" s="7" t="n">
        <v>60</v>
      </c>
    </row>
    <row r="138">
      <c r="A138" s="6" t="inlineStr">
        <is>
          <t>trident</t>
        </is>
      </c>
      <c r="B138" s="6" t="inlineStr">
        <is>
          <t>pad</t>
        </is>
      </c>
      <c r="C138" s="7" t="inlineStr"/>
      <c r="D138" s="7" t="n">
        <v>2</v>
      </c>
      <c r="E138" s="7" t="n">
        <v>320</v>
      </c>
      <c r="F138" s="7" t="n">
        <v>60</v>
      </c>
    </row>
    <row r="139">
      <c r="A139" s="6" t="inlineStr">
        <is>
          <t>trident</t>
        </is>
      </c>
      <c r="B139" s="6" t="inlineStr">
        <is>
          <t>pad</t>
        </is>
      </c>
      <c r="C139" s="7" t="inlineStr"/>
      <c r="D139" s="7" t="n">
        <v>3</v>
      </c>
      <c r="E139" s="7" t="n">
        <v>120</v>
      </c>
      <c r="F139" s="7" t="n">
        <v>60</v>
      </c>
    </row>
    <row r="140">
      <c r="A140" s="6" t="inlineStr">
        <is>
          <t>trident</t>
        </is>
      </c>
      <c r="B140" s="6" t="inlineStr">
        <is>
          <t>pad</t>
        </is>
      </c>
      <c r="C140" s="7" t="inlineStr"/>
      <c r="D140" s="7" t="n">
        <v>4</v>
      </c>
      <c r="E140" s="7" t="n">
        <v>240</v>
      </c>
      <c r="F140" s="7" t="n">
        <v>60</v>
      </c>
    </row>
    <row r="141">
      <c r="A141" s="6" t="inlineStr">
        <is>
          <t>trident</t>
        </is>
      </c>
      <c r="B141" s="6" t="inlineStr">
        <is>
          <t>pad</t>
        </is>
      </c>
      <c r="C141" s="7" t="inlineStr"/>
      <c r="D141" s="7" t="n">
        <v>5</v>
      </c>
      <c r="E141" s="7" t="n">
        <v>140</v>
      </c>
      <c r="F141" s="7" t="n">
        <v>220</v>
      </c>
    </row>
    <row r="142">
      <c r="A142" s="6" t="inlineStr">
        <is>
          <t>trident</t>
        </is>
      </c>
      <c r="B142" s="6" t="inlineStr">
        <is>
          <t>pad</t>
        </is>
      </c>
      <c r="C142" s="7" t="inlineStr"/>
      <c r="D142" s="7" t="n">
        <v>6</v>
      </c>
      <c r="E142" s="7" t="n">
        <v>220</v>
      </c>
      <c r="F142" s="7" t="n">
        <v>220</v>
      </c>
    </row>
    <row r="143">
      <c r="A143" s="6" t="inlineStr">
        <is>
          <t>trident</t>
        </is>
      </c>
      <c r="B143" s="6" t="inlineStr">
        <is>
          <t>pad</t>
        </is>
      </c>
      <c r="C143" s="7" t="inlineStr"/>
      <c r="D143" s="7" t="n">
        <v>7</v>
      </c>
      <c r="E143" s="7" t="n">
        <v>40</v>
      </c>
      <c r="F143" s="7" t="n">
        <v>240</v>
      </c>
    </row>
    <row r="144">
      <c r="A144" s="6" t="inlineStr">
        <is>
          <t>trident</t>
        </is>
      </c>
      <c r="B144" s="6" t="inlineStr">
        <is>
          <t>pad</t>
        </is>
      </c>
      <c r="C144" s="7" t="inlineStr"/>
      <c r="D144" s="7" t="n">
        <v>8</v>
      </c>
      <c r="E144" s="7" t="n">
        <v>320</v>
      </c>
      <c r="F144" s="7" t="n">
        <v>240</v>
      </c>
    </row>
    <row r="145">
      <c r="A145" s="6" t="inlineStr">
        <is>
          <t>trident</t>
        </is>
      </c>
      <c r="B145" s="6" t="inlineStr">
        <is>
          <t>pad</t>
        </is>
      </c>
      <c r="C145" s="7" t="inlineStr"/>
      <c r="D145" s="7" t="n">
        <v>9</v>
      </c>
      <c r="E145" s="7" t="n">
        <v>100</v>
      </c>
      <c r="F145" s="7" t="n">
        <v>440</v>
      </c>
    </row>
    <row r="146">
      <c r="A146" s="6" t="inlineStr">
        <is>
          <t>trident</t>
        </is>
      </c>
      <c r="B146" s="6" t="inlineStr">
        <is>
          <t>pad</t>
        </is>
      </c>
      <c r="C146" s="7" t="inlineStr"/>
      <c r="D146" s="7" t="n">
        <v>10</v>
      </c>
      <c r="E146" s="7" t="n">
        <v>260</v>
      </c>
      <c r="F146" s="7" t="n">
        <v>440</v>
      </c>
    </row>
    <row r="147">
      <c r="A147" s="6" t="inlineStr">
        <is>
          <t>trident</t>
        </is>
      </c>
      <c r="B147" s="6" t="inlineStr">
        <is>
          <t>pad</t>
        </is>
      </c>
      <c r="C147" s="7" t="inlineStr"/>
      <c r="D147" s="7" t="n">
        <v>11</v>
      </c>
      <c r="E147" s="7" t="n">
        <v>120</v>
      </c>
      <c r="F147" s="7" t="n">
        <v>540</v>
      </c>
    </row>
    <row r="148">
      <c r="A148" s="6" t="inlineStr">
        <is>
          <t>trident</t>
        </is>
      </c>
      <c r="B148" s="6" t="inlineStr">
        <is>
          <t>pad</t>
        </is>
      </c>
      <c r="C148" s="7" t="inlineStr"/>
      <c r="D148" s="7" t="n">
        <v>12</v>
      </c>
      <c r="E148" s="7" t="n">
        <v>240</v>
      </c>
      <c r="F148" s="7" t="n">
        <v>540</v>
      </c>
    </row>
    <row r="150">
      <c r="A150" s="10" t="inlineStr">
        <is>
          <t>※ 画布 360 × 600，左上角是 (0, 0)。同一跑道可以有多条路线（route 1、2、3…），每条路线按顺序连成折线，建议只画水平或竖直线段；入口和出口可以在画布外。多条路线共用的路段要用相同坐标，看起来就是一条路。跑者按路线轮流出发。空位离跑道中心线至少 36，空位之间至少 34。</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7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52" customWidth="1" min="3" max="3"/>
    <col width="11" customWidth="1" min="4" max="4"/>
    <col width="46" customWidth="1" min="5" max="5"/>
    <col width="9" customWidth="1" min="6" max="6"/>
    <col width="9" customWidth="1" min="7" max="7"/>
    <col width="11" customWidth="1" min="8" max="8"/>
    <col width="11" customWidth="1" min="9" max="9"/>
    <col width="7" customWidth="1" min="10" max="10"/>
    <col width="7" customWidth="1" min="11" max="11"/>
    <col width="12" customWidth="1" min="12" max="12"/>
    <col width="22" customWidth="1" min="13" max="13"/>
  </cols>
  <sheetData>
    <row r="1" ht="30" customHeight="1">
      <c r="A1" s="4" t="inlineStr">
        <is>
          <t>资源编号（勿改）</t>
        </is>
      </c>
      <c r="B1" s="4" t="inlineStr">
        <is>
          <t>类别</t>
        </is>
      </c>
      <c r="C1" s="4" t="inlineStr">
        <is>
          <t>说明</t>
        </is>
      </c>
      <c r="D1" s="4" t="inlineStr">
        <is>
          <t>优先级</t>
        </is>
      </c>
      <c r="E1" s="4" t="inlineStr">
        <is>
          <t>图片地址（https:// 链接，留空 = 用占位图）</t>
        </is>
      </c>
      <c r="F1" s="4" t="inlineStr">
        <is>
          <t>游戏内宽</t>
        </is>
      </c>
      <c r="G1" s="4" t="inlineStr">
        <is>
          <t>游戏内高</t>
        </is>
      </c>
      <c r="H1" s="4" t="inlineStr">
        <is>
          <t>锚点 X（0–1）</t>
        </is>
      </c>
      <c r="I1" s="4" t="inlineStr">
        <is>
          <t>锚点 Y（0–1）</t>
        </is>
      </c>
      <c r="J1" s="4" t="inlineStr">
        <is>
          <t>帧数</t>
        </is>
      </c>
      <c r="K1" s="4" t="inlineStr">
        <is>
          <t>帧率</t>
        </is>
      </c>
      <c r="L1" s="4" t="inlineStr">
        <is>
          <t>盖住跑道（1/0，仅地图）</t>
        </is>
      </c>
      <c r="M1" s="4" t="inlineStr">
        <is>
          <t>建议出图尺寸（3 倍，px）</t>
        </is>
      </c>
    </row>
    <row r="2">
      <c r="A2" s="5" t="inlineStr">
        <is>
          <t>key</t>
        </is>
      </c>
      <c r="B2" s="5" t="inlineStr"/>
      <c r="C2" s="5" t="inlineStr"/>
      <c r="D2" s="5" t="inlineStr"/>
      <c r="E2" s="5" t="inlineStr">
        <is>
          <t>src</t>
        </is>
      </c>
      <c r="F2" s="5" t="inlineStr">
        <is>
          <t>w</t>
        </is>
      </c>
      <c r="G2" s="5" t="inlineStr">
        <is>
          <t>h</t>
        </is>
      </c>
      <c r="H2" s="5" t="inlineStr">
        <is>
          <t>ax</t>
        </is>
      </c>
      <c r="I2" s="5" t="inlineStr">
        <is>
          <t>ay</t>
        </is>
      </c>
      <c r="J2" s="5" t="inlineStr">
        <is>
          <t>frames</t>
        </is>
      </c>
      <c r="K2" s="5" t="inlineStr">
        <is>
          <t>fps</t>
        </is>
      </c>
      <c r="L2" s="5" t="inlineStr">
        <is>
          <t>cover</t>
        </is>
      </c>
      <c r="M2" s="5" t="inlineStr"/>
    </row>
    <row r="3">
      <c r="A3" s="6" t="inlineStr">
        <is>
          <t>map.classic</t>
        </is>
      </c>
      <c r="B3" s="9" t="inlineStr">
        <is>
          <t>地图</t>
        </is>
      </c>
      <c r="C3" s="9" t="inlineStr">
        <is>
          <t>蛇形跑道整张底图（草地、装饰；cover=1 时连跑道一起画，游戏就不再画跑道）</t>
        </is>
      </c>
      <c r="D3" s="9" t="inlineStr">
        <is>
          <t>P1 样板关</t>
        </is>
      </c>
      <c r="E3" s="8" t="inlineStr"/>
      <c r="F3" s="7" t="n">
        <v>360</v>
      </c>
      <c r="G3" s="7" t="n">
        <v>600</v>
      </c>
      <c r="H3" s="7" t="n">
        <v>0</v>
      </c>
      <c r="I3" s="7" t="n">
        <v>0</v>
      </c>
      <c r="J3" s="7" t="n">
        <v>1</v>
      </c>
      <c r="K3" s="7" t="n">
        <v>0</v>
      </c>
      <c r="L3" s="7" t="n">
        <v>0</v>
      </c>
      <c r="M3" s="9">
        <f>IF(J3&gt;1,J3*F3*3&amp;" × "&amp;G3*3&amp;"（"&amp;J3&amp;" 帧横排）",F3*3&amp;" × "&amp;G3*3)</f>
        <v/>
      </c>
    </row>
    <row r="4">
      <c r="A4" s="6" t="inlineStr">
        <is>
          <t>map.twin</t>
        </is>
      </c>
      <c r="B4" s="9" t="inlineStr">
        <is>
          <t>地图</t>
        </is>
      </c>
      <c r="C4" s="9" t="inlineStr">
        <is>
          <t>双子跑道整张底图（草地、装饰；cover=1 时连跑道一起画，游戏就不再画跑道）</t>
        </is>
      </c>
      <c r="D4" s="9" t="inlineStr">
        <is>
          <t>P2</t>
        </is>
      </c>
      <c r="E4" s="8" t="inlineStr"/>
      <c r="F4" s="7" t="n">
        <v>360</v>
      </c>
      <c r="G4" s="7" t="n">
        <v>600</v>
      </c>
      <c r="H4" s="7" t="n">
        <v>0</v>
      </c>
      <c r="I4" s="7" t="n">
        <v>0</v>
      </c>
      <c r="J4" s="7" t="n">
        <v>1</v>
      </c>
      <c r="K4" s="7" t="n">
        <v>0</v>
      </c>
      <c r="L4" s="7" t="n">
        <v>0</v>
      </c>
      <c r="M4" s="9">
        <f>IF(J4&gt;1,J4*F4*3&amp;" × "&amp;G4*3&amp;"（"&amp;J4&amp;" 帧横排）",F4*3&amp;" × "&amp;G4*3)</f>
        <v/>
      </c>
    </row>
    <row r="5">
      <c r="A5" s="6" t="inlineStr">
        <is>
          <t>map.fork</t>
        </is>
      </c>
      <c r="B5" s="9" t="inlineStr">
        <is>
          <t>地图</t>
        </is>
      </c>
      <c r="C5" s="9" t="inlineStr">
        <is>
          <t>分岔路口整张底图（草地、装饰；cover=1 时连跑道一起画，游戏就不再画跑道）</t>
        </is>
      </c>
      <c r="D5" s="9" t="inlineStr">
        <is>
          <t>P2</t>
        </is>
      </c>
      <c r="E5" s="8" t="inlineStr"/>
      <c r="F5" s="7" t="n">
        <v>360</v>
      </c>
      <c r="G5" s="7" t="n">
        <v>600</v>
      </c>
      <c r="H5" s="7" t="n">
        <v>0</v>
      </c>
      <c r="I5" s="7" t="n">
        <v>0</v>
      </c>
      <c r="J5" s="7" t="n">
        <v>1</v>
      </c>
      <c r="K5" s="7" t="n">
        <v>0</v>
      </c>
      <c r="L5" s="7" t="n">
        <v>0</v>
      </c>
      <c r="M5" s="9">
        <f>IF(J5&gt;1,J5*F5*3&amp;" × "&amp;G5*3&amp;"（"&amp;J5&amp;" 帧横排）",F5*3&amp;" × "&amp;G5*3)</f>
        <v/>
      </c>
    </row>
    <row r="6">
      <c r="A6" s="6" t="inlineStr">
        <is>
          <t>map.merge</t>
        </is>
      </c>
      <c r="B6" s="9" t="inlineStr">
        <is>
          <t>地图</t>
        </is>
      </c>
      <c r="C6" s="9" t="inlineStr">
        <is>
          <t>汇流跑道整张底图（草地、装饰；cover=1 时连跑道一起画，游戏就不再画跑道）</t>
        </is>
      </c>
      <c r="D6" s="9" t="inlineStr">
        <is>
          <t>P2</t>
        </is>
      </c>
      <c r="E6" s="8" t="inlineStr"/>
      <c r="F6" s="7" t="n">
        <v>360</v>
      </c>
      <c r="G6" s="7" t="n">
        <v>600</v>
      </c>
      <c r="H6" s="7" t="n">
        <v>0</v>
      </c>
      <c r="I6" s="7" t="n">
        <v>0</v>
      </c>
      <c r="J6" s="7" t="n">
        <v>1</v>
      </c>
      <c r="K6" s="7" t="n">
        <v>0</v>
      </c>
      <c r="L6" s="7" t="n">
        <v>0</v>
      </c>
      <c r="M6" s="9">
        <f>IF(J6&gt;1,J6*F6*3&amp;" × "&amp;G6*3&amp;"（"&amp;J6&amp;" 帧横排）",F6*3&amp;" × "&amp;G6*3)</f>
        <v/>
      </c>
    </row>
    <row r="7">
      <c r="A7" s="6" t="inlineStr">
        <is>
          <t>map.cross</t>
        </is>
      </c>
      <c r="B7" s="9" t="inlineStr">
        <is>
          <t>地图</t>
        </is>
      </c>
      <c r="C7" s="9" t="inlineStr">
        <is>
          <t>十字路口整张底图（草地、装饰；cover=1 时连跑道一起画，游戏就不再画跑道）</t>
        </is>
      </c>
      <c r="D7" s="9" t="inlineStr">
        <is>
          <t>P2</t>
        </is>
      </c>
      <c r="E7" s="8" t="inlineStr"/>
      <c r="F7" s="7" t="n">
        <v>360</v>
      </c>
      <c r="G7" s="7" t="n">
        <v>600</v>
      </c>
      <c r="H7" s="7" t="n">
        <v>0</v>
      </c>
      <c r="I7" s="7" t="n">
        <v>0</v>
      </c>
      <c r="J7" s="7" t="n">
        <v>1</v>
      </c>
      <c r="K7" s="7" t="n">
        <v>0</v>
      </c>
      <c r="L7" s="7" t="n">
        <v>0</v>
      </c>
      <c r="M7" s="9">
        <f>IF(J7&gt;1,J7*F7*3&amp;" × "&amp;G7*3&amp;"（"&amp;J7&amp;" 帧横排）",F7*3&amp;" × "&amp;G7*3)</f>
        <v/>
      </c>
    </row>
    <row r="8">
      <c r="A8" s="6" t="inlineStr">
        <is>
          <t>map.trident</t>
        </is>
      </c>
      <c r="B8" s="9" t="inlineStr">
        <is>
          <t>地图</t>
        </is>
      </c>
      <c r="C8" s="9" t="inlineStr">
        <is>
          <t>三路汇聚整张底图（草地、装饰；cover=1 时连跑道一起画，游戏就不再画跑道）</t>
        </is>
      </c>
      <c r="D8" s="9" t="inlineStr">
        <is>
          <t>P2</t>
        </is>
      </c>
      <c r="E8" s="8" t="inlineStr"/>
      <c r="F8" s="7" t="n">
        <v>360</v>
      </c>
      <c r="G8" s="7" t="n">
        <v>600</v>
      </c>
      <c r="H8" s="7" t="n">
        <v>0</v>
      </c>
      <c r="I8" s="7" t="n">
        <v>0</v>
      </c>
      <c r="J8" s="7" t="n">
        <v>1</v>
      </c>
      <c r="K8" s="7" t="n">
        <v>0</v>
      </c>
      <c r="L8" s="7" t="n">
        <v>0</v>
      </c>
      <c r="M8" s="9">
        <f>IF(J8&gt;1,J8*F8*3&amp;" × "&amp;G8*3&amp;"（"&amp;J8&amp;" 帧横排）",F8*3&amp;" × "&amp;G8*3)</f>
        <v/>
      </c>
    </row>
    <row r="9">
      <c r="A9" s="6" t="inlineStr">
        <is>
          <t>tower.dart</t>
        </is>
      </c>
      <c r="B9" s="9" t="inlineStr">
        <is>
          <t>装置</t>
        </is>
      </c>
      <c r="C9" s="9" t="inlineStr">
        <is>
          <t>易拉罐投手：操作员 + 道具，面朝右（朝左时游戏自动翻转），脚底对齐空位中心</t>
        </is>
      </c>
      <c r="D9" s="9" t="inlineStr">
        <is>
          <t>P1 样板关</t>
        </is>
      </c>
      <c r="E9" s="8" t="inlineStr"/>
      <c r="F9" s="7" t="n">
        <v>40</v>
      </c>
      <c r="G9" s="7" t="n">
        <v>50</v>
      </c>
      <c r="H9" s="7" t="n">
        <v>0.5</v>
      </c>
      <c r="I9" s="7" t="n">
        <v>0.92</v>
      </c>
      <c r="J9" s="7" t="n">
        <v>1</v>
      </c>
      <c r="K9" s="7" t="n">
        <v>0</v>
      </c>
      <c r="L9" s="7" t="n">
        <v>0</v>
      </c>
      <c r="M9" s="9">
        <f>IF(J9&gt;1,J9*F9*3&amp;" × "&amp;G9*3&amp;"（"&amp;J9&amp;" 帧横排）",F9*3&amp;" × "&amp;G9*3)</f>
        <v/>
      </c>
    </row>
    <row r="10">
      <c r="A10" s="6" t="inlineStr">
        <is>
          <t>tower.bomb</t>
        </is>
      </c>
      <c r="B10" s="9" t="inlineStr">
        <is>
          <t>装置</t>
        </is>
      </c>
      <c r="C10" s="9" t="inlineStr">
        <is>
          <t>香蕉皮投手：操作员 + 道具，面朝右（朝左时游戏自动翻转），脚底对齐空位中心</t>
        </is>
      </c>
      <c r="D10" s="9" t="inlineStr">
        <is>
          <t>P1 样板关</t>
        </is>
      </c>
      <c r="E10" s="8" t="inlineStr"/>
      <c r="F10" s="7" t="n">
        <v>40</v>
      </c>
      <c r="G10" s="7" t="n">
        <v>50</v>
      </c>
      <c r="H10" s="7" t="n">
        <v>0.5</v>
      </c>
      <c r="I10" s="7" t="n">
        <v>0.92</v>
      </c>
      <c r="J10" s="7" t="n">
        <v>1</v>
      </c>
      <c r="K10" s="7" t="n">
        <v>0</v>
      </c>
      <c r="L10" s="7" t="n">
        <v>0</v>
      </c>
      <c r="M10" s="9">
        <f>IF(J10&gt;1,J10*F10*3&amp;" × "&amp;G10*3&amp;"（"&amp;J10&amp;" 帧横排）",F10*3&amp;" × "&amp;G10*3)</f>
        <v/>
      </c>
    </row>
    <row r="11">
      <c r="A11" s="6" t="inlineStr">
        <is>
          <t>tower.frost</t>
        </is>
      </c>
      <c r="B11" s="9" t="inlineStr">
        <is>
          <t>装置</t>
        </is>
      </c>
      <c r="C11" s="9" t="inlineStr">
        <is>
          <t>洒水器：操作员 + 道具，面朝右（朝左时游戏自动翻转），脚底对齐空位中心</t>
        </is>
      </c>
      <c r="D11" s="9" t="inlineStr">
        <is>
          <t>P2</t>
        </is>
      </c>
      <c r="E11" s="8" t="inlineStr"/>
      <c r="F11" s="7" t="n">
        <v>40</v>
      </c>
      <c r="G11" s="7" t="n">
        <v>50</v>
      </c>
      <c r="H11" s="7" t="n">
        <v>0.5</v>
      </c>
      <c r="I11" s="7" t="n">
        <v>0.92</v>
      </c>
      <c r="J11" s="7" t="n">
        <v>1</v>
      </c>
      <c r="K11" s="7" t="n">
        <v>0</v>
      </c>
      <c r="L11" s="7" t="n">
        <v>0</v>
      </c>
      <c r="M11" s="9">
        <f>IF(J11&gt;1,J11*F11*3&amp;" × "&amp;G11*3&amp;"（"&amp;J11&amp;" 帧横排）",F11*3&amp;" × "&amp;G11*3)</f>
        <v/>
      </c>
    </row>
    <row r="12">
      <c r="A12" s="6" t="inlineStr">
        <is>
          <t>tower.sniper</t>
        </is>
      </c>
      <c r="B12" s="9" t="inlineStr">
        <is>
          <t>装置</t>
        </is>
      </c>
      <c r="C12" s="9" t="inlineStr">
        <is>
          <t>鞋盒无人机：操作员 + 道具，面朝右（朝左时游戏自动翻转），脚底对齐空位中心</t>
        </is>
      </c>
      <c r="D12" s="9" t="inlineStr">
        <is>
          <t>P2</t>
        </is>
      </c>
      <c r="E12" s="8" t="inlineStr"/>
      <c r="F12" s="7" t="n">
        <v>40</v>
      </c>
      <c r="G12" s="7" t="n">
        <v>50</v>
      </c>
      <c r="H12" s="7" t="n">
        <v>0.5</v>
      </c>
      <c r="I12" s="7" t="n">
        <v>0.92</v>
      </c>
      <c r="J12" s="7" t="n">
        <v>1</v>
      </c>
      <c r="K12" s="7" t="n">
        <v>0</v>
      </c>
      <c r="L12" s="7" t="n">
        <v>0</v>
      </c>
      <c r="M12" s="9">
        <f>IF(J12&gt;1,J12*F12*3&amp;" × "&amp;G12*3&amp;"（"&amp;J12&amp;" 帧横排）",F12*3&amp;" × "&amp;G12*3)</f>
        <v/>
      </c>
    </row>
    <row r="13">
      <c r="A13" s="6" t="inlineStr">
        <is>
          <t>tower.tesla</t>
        </is>
      </c>
      <c r="B13" s="9" t="inlineStr">
        <is>
          <t>装置</t>
        </is>
      </c>
      <c r="C13" s="9" t="inlineStr">
        <is>
          <t>广场舞音响：操作员 + 道具，面朝右（朝左时游戏自动翻转），脚底对齐空位中心</t>
        </is>
      </c>
      <c r="D13" s="9" t="inlineStr">
        <is>
          <t>P2</t>
        </is>
      </c>
      <c r="E13" s="8" t="inlineStr"/>
      <c r="F13" s="7" t="n">
        <v>40</v>
      </c>
      <c r="G13" s="7" t="n">
        <v>50</v>
      </c>
      <c r="H13" s="7" t="n">
        <v>0.5</v>
      </c>
      <c r="I13" s="7" t="n">
        <v>0.92</v>
      </c>
      <c r="J13" s="7" t="n">
        <v>1</v>
      </c>
      <c r="K13" s="7" t="n">
        <v>0</v>
      </c>
      <c r="L13" s="7" t="n">
        <v>0</v>
      </c>
      <c r="M13" s="9">
        <f>IF(J13&gt;1,J13*F13*3&amp;" × "&amp;G13*3&amp;"（"&amp;J13&amp;" 帧横排）",F13*3&amp;" × "&amp;G13*3)</f>
        <v/>
      </c>
    </row>
    <row r="14">
      <c r="A14" s="6" t="inlineStr">
        <is>
          <t>tower.gem</t>
        </is>
      </c>
      <c r="B14" s="9" t="inlineStr">
        <is>
          <t>装置</t>
        </is>
      </c>
      <c r="C14" s="9" t="inlineStr">
        <is>
          <t>宝石发射器：操作员 + 道具，面朝右（朝左时游戏自动翻转），脚底对齐空位中心</t>
        </is>
      </c>
      <c r="D14" s="9" t="inlineStr">
        <is>
          <t>P2</t>
        </is>
      </c>
      <c r="E14" s="8" t="inlineStr"/>
      <c r="F14" s="7" t="n">
        <v>40</v>
      </c>
      <c r="G14" s="7" t="n">
        <v>50</v>
      </c>
      <c r="H14" s="7" t="n">
        <v>0.5</v>
      </c>
      <c r="I14" s="7" t="n">
        <v>0.92</v>
      </c>
      <c r="J14" s="7" t="n">
        <v>1</v>
      </c>
      <c r="K14" s="7" t="n">
        <v>0</v>
      </c>
      <c r="L14" s="7" t="n">
        <v>0</v>
      </c>
      <c r="M14" s="9">
        <f>IF(J14&gt;1,J14*F14*3&amp;" × "&amp;G14*3&amp;"（"&amp;J14&amp;" 帧横排）",F14*3&amp;" × "&amp;G14*3)</f>
        <v/>
      </c>
    </row>
    <row r="15">
      <c r="A15" s="6" t="inlineStr">
        <is>
          <t>tower.miner</t>
        </is>
      </c>
      <c r="B15" s="9" t="inlineStr">
        <is>
          <t>装置</t>
        </is>
      </c>
      <c r="C15" s="9" t="inlineStr">
        <is>
          <t>矿机：操作员 + 道具，面朝右（朝左时游戏自动翻转），脚底对齐空位中心</t>
        </is>
      </c>
      <c r="D15" s="9" t="inlineStr">
        <is>
          <t>P2</t>
        </is>
      </c>
      <c r="E15" s="8" t="inlineStr"/>
      <c r="F15" s="7" t="n">
        <v>40</v>
      </c>
      <c r="G15" s="7" t="n">
        <v>50</v>
      </c>
      <c r="H15" s="7" t="n">
        <v>0.5</v>
      </c>
      <c r="I15" s="7" t="n">
        <v>0.92</v>
      </c>
      <c r="J15" s="7" t="n">
        <v>1</v>
      </c>
      <c r="K15" s="7" t="n">
        <v>0</v>
      </c>
      <c r="L15" s="7" t="n">
        <v>0</v>
      </c>
      <c r="M15" s="9">
        <f>IF(J15&gt;1,J15*F15*3&amp;" × "&amp;G15*3&amp;"（"&amp;J15&amp;" 帧横排）",F15*3&amp;" × "&amp;G15*3)</f>
        <v/>
      </c>
    </row>
    <row r="16">
      <c r="A16" s="6" t="inlineStr">
        <is>
          <t>tower.dart.p1</t>
        </is>
      </c>
      <c r="B16" s="9" t="inlineStr">
        <is>
          <t>装置进化</t>
        </is>
      </c>
      <c r="C16" s="9" t="inlineStr">
        <is>
          <t>易拉罐投手 第 1 条路线升到 3 级以上作为主路线时的外观</t>
        </is>
      </c>
      <c r="D16" s="9" t="inlineStr">
        <is>
          <t>P3</t>
        </is>
      </c>
      <c r="E16" s="8" t="inlineStr"/>
      <c r="F16" s="7" t="n">
        <v>44</v>
      </c>
      <c r="G16" s="7" t="n">
        <v>54</v>
      </c>
      <c r="H16" s="7" t="n">
        <v>0.5</v>
      </c>
      <c r="I16" s="7" t="n">
        <v>0.92</v>
      </c>
      <c r="J16" s="7" t="n">
        <v>1</v>
      </c>
      <c r="K16" s="7" t="n">
        <v>0</v>
      </c>
      <c r="L16" s="7" t="n">
        <v>0</v>
      </c>
      <c r="M16" s="9">
        <f>IF(J16&gt;1,J16*F16*3&amp;" × "&amp;G16*3&amp;"（"&amp;J16&amp;" 帧横排）",F16*3&amp;" × "&amp;G16*3)</f>
        <v/>
      </c>
    </row>
    <row r="17">
      <c r="A17" s="6" t="inlineStr">
        <is>
          <t>tower.dart.p2</t>
        </is>
      </c>
      <c r="B17" s="9" t="inlineStr">
        <is>
          <t>装置进化</t>
        </is>
      </c>
      <c r="C17" s="9" t="inlineStr">
        <is>
          <t>易拉罐投手 第 2 条路线升到 3 级以上作为主路线时的外观</t>
        </is>
      </c>
      <c r="D17" s="9" t="inlineStr">
        <is>
          <t>P3</t>
        </is>
      </c>
      <c r="E17" s="8" t="inlineStr"/>
      <c r="F17" s="7" t="n">
        <v>44</v>
      </c>
      <c r="G17" s="7" t="n">
        <v>54</v>
      </c>
      <c r="H17" s="7" t="n">
        <v>0.5</v>
      </c>
      <c r="I17" s="7" t="n">
        <v>0.92</v>
      </c>
      <c r="J17" s="7" t="n">
        <v>1</v>
      </c>
      <c r="K17" s="7" t="n">
        <v>0</v>
      </c>
      <c r="L17" s="7" t="n">
        <v>0</v>
      </c>
      <c r="M17" s="9">
        <f>IF(J17&gt;1,J17*F17*3&amp;" × "&amp;G17*3&amp;"（"&amp;J17&amp;" 帧横排）",F17*3&amp;" × "&amp;G17*3)</f>
        <v/>
      </c>
    </row>
    <row r="18">
      <c r="A18" s="6" t="inlineStr">
        <is>
          <t>tower.dart.p3</t>
        </is>
      </c>
      <c r="B18" s="9" t="inlineStr">
        <is>
          <t>装置进化</t>
        </is>
      </c>
      <c r="C18" s="9" t="inlineStr">
        <is>
          <t>易拉罐投手 第 3 条路线升到 3 级以上作为主路线时的外观</t>
        </is>
      </c>
      <c r="D18" s="9" t="inlineStr">
        <is>
          <t>P3</t>
        </is>
      </c>
      <c r="E18" s="8" t="inlineStr"/>
      <c r="F18" s="7" t="n">
        <v>44</v>
      </c>
      <c r="G18" s="7" t="n">
        <v>54</v>
      </c>
      <c r="H18" s="7" t="n">
        <v>0.5</v>
      </c>
      <c r="I18" s="7" t="n">
        <v>0.92</v>
      </c>
      <c r="J18" s="7" t="n">
        <v>1</v>
      </c>
      <c r="K18" s="7" t="n">
        <v>0</v>
      </c>
      <c r="L18" s="7" t="n">
        <v>0</v>
      </c>
      <c r="M18" s="9">
        <f>IF(J18&gt;1,J18*F18*3&amp;" × "&amp;G18*3&amp;"（"&amp;J18&amp;" 帧横排）",F18*3&amp;" × "&amp;G18*3)</f>
        <v/>
      </c>
    </row>
    <row r="19">
      <c r="A19" s="6" t="inlineStr">
        <is>
          <t>tower.bomb.p1</t>
        </is>
      </c>
      <c r="B19" s="9" t="inlineStr">
        <is>
          <t>装置进化</t>
        </is>
      </c>
      <c r="C19" s="9" t="inlineStr">
        <is>
          <t>香蕉皮投手 第 1 条路线升到 3 级以上作为主路线时的外观</t>
        </is>
      </c>
      <c r="D19" s="9" t="inlineStr">
        <is>
          <t>P3</t>
        </is>
      </c>
      <c r="E19" s="8" t="inlineStr"/>
      <c r="F19" s="7" t="n">
        <v>44</v>
      </c>
      <c r="G19" s="7" t="n">
        <v>54</v>
      </c>
      <c r="H19" s="7" t="n">
        <v>0.5</v>
      </c>
      <c r="I19" s="7" t="n">
        <v>0.92</v>
      </c>
      <c r="J19" s="7" t="n">
        <v>1</v>
      </c>
      <c r="K19" s="7" t="n">
        <v>0</v>
      </c>
      <c r="L19" s="7" t="n">
        <v>0</v>
      </c>
      <c r="M19" s="9">
        <f>IF(J19&gt;1,J19*F19*3&amp;" × "&amp;G19*3&amp;"（"&amp;J19&amp;" 帧横排）",F19*3&amp;" × "&amp;G19*3)</f>
        <v/>
      </c>
    </row>
    <row r="20">
      <c r="A20" s="6" t="inlineStr">
        <is>
          <t>tower.bomb.p2</t>
        </is>
      </c>
      <c r="B20" s="9" t="inlineStr">
        <is>
          <t>装置进化</t>
        </is>
      </c>
      <c r="C20" s="9" t="inlineStr">
        <is>
          <t>香蕉皮投手 第 2 条路线升到 3 级以上作为主路线时的外观</t>
        </is>
      </c>
      <c r="D20" s="9" t="inlineStr">
        <is>
          <t>P3</t>
        </is>
      </c>
      <c r="E20" s="8" t="inlineStr"/>
      <c r="F20" s="7" t="n">
        <v>44</v>
      </c>
      <c r="G20" s="7" t="n">
        <v>54</v>
      </c>
      <c r="H20" s="7" t="n">
        <v>0.5</v>
      </c>
      <c r="I20" s="7" t="n">
        <v>0.92</v>
      </c>
      <c r="J20" s="7" t="n">
        <v>1</v>
      </c>
      <c r="K20" s="7" t="n">
        <v>0</v>
      </c>
      <c r="L20" s="7" t="n">
        <v>0</v>
      </c>
      <c r="M20" s="9">
        <f>IF(J20&gt;1,J20*F20*3&amp;" × "&amp;G20*3&amp;"（"&amp;J20&amp;" 帧横排）",F20*3&amp;" × "&amp;G20*3)</f>
        <v/>
      </c>
    </row>
    <row r="21">
      <c r="A21" s="6" t="inlineStr">
        <is>
          <t>tower.bomb.p3</t>
        </is>
      </c>
      <c r="B21" s="9" t="inlineStr">
        <is>
          <t>装置进化</t>
        </is>
      </c>
      <c r="C21" s="9" t="inlineStr">
        <is>
          <t>香蕉皮投手 第 3 条路线升到 3 级以上作为主路线时的外观</t>
        </is>
      </c>
      <c r="D21" s="9" t="inlineStr">
        <is>
          <t>P3</t>
        </is>
      </c>
      <c r="E21" s="8" t="inlineStr"/>
      <c r="F21" s="7" t="n">
        <v>44</v>
      </c>
      <c r="G21" s="7" t="n">
        <v>54</v>
      </c>
      <c r="H21" s="7" t="n">
        <v>0.5</v>
      </c>
      <c r="I21" s="7" t="n">
        <v>0.92</v>
      </c>
      <c r="J21" s="7" t="n">
        <v>1</v>
      </c>
      <c r="K21" s="7" t="n">
        <v>0</v>
      </c>
      <c r="L21" s="7" t="n">
        <v>0</v>
      </c>
      <c r="M21" s="9">
        <f>IF(J21&gt;1,J21*F21*3&amp;" × "&amp;G21*3&amp;"（"&amp;J21&amp;" 帧横排）",F21*3&amp;" × "&amp;G21*3)</f>
        <v/>
      </c>
    </row>
    <row r="22">
      <c r="A22" s="6" t="inlineStr">
        <is>
          <t>tower.frost.p1</t>
        </is>
      </c>
      <c r="B22" s="9" t="inlineStr">
        <is>
          <t>装置进化</t>
        </is>
      </c>
      <c r="C22" s="9" t="inlineStr">
        <is>
          <t>洒水器 第 1 条路线升到 3 级以上作为主路线时的外观</t>
        </is>
      </c>
      <c r="D22" s="9" t="inlineStr">
        <is>
          <t>P3</t>
        </is>
      </c>
      <c r="E22" s="8" t="inlineStr"/>
      <c r="F22" s="7" t="n">
        <v>44</v>
      </c>
      <c r="G22" s="7" t="n">
        <v>54</v>
      </c>
      <c r="H22" s="7" t="n">
        <v>0.5</v>
      </c>
      <c r="I22" s="7" t="n">
        <v>0.92</v>
      </c>
      <c r="J22" s="7" t="n">
        <v>1</v>
      </c>
      <c r="K22" s="7" t="n">
        <v>0</v>
      </c>
      <c r="L22" s="7" t="n">
        <v>0</v>
      </c>
      <c r="M22" s="9">
        <f>IF(J22&gt;1,J22*F22*3&amp;" × "&amp;G22*3&amp;"（"&amp;J22&amp;" 帧横排）",F22*3&amp;" × "&amp;G22*3)</f>
        <v/>
      </c>
    </row>
    <row r="23">
      <c r="A23" s="6" t="inlineStr">
        <is>
          <t>tower.frost.p2</t>
        </is>
      </c>
      <c r="B23" s="9" t="inlineStr">
        <is>
          <t>装置进化</t>
        </is>
      </c>
      <c r="C23" s="9" t="inlineStr">
        <is>
          <t>洒水器 第 2 条路线升到 3 级以上作为主路线时的外观</t>
        </is>
      </c>
      <c r="D23" s="9" t="inlineStr">
        <is>
          <t>P3</t>
        </is>
      </c>
      <c r="E23" s="8" t="inlineStr"/>
      <c r="F23" s="7" t="n">
        <v>44</v>
      </c>
      <c r="G23" s="7" t="n">
        <v>54</v>
      </c>
      <c r="H23" s="7" t="n">
        <v>0.5</v>
      </c>
      <c r="I23" s="7" t="n">
        <v>0.92</v>
      </c>
      <c r="J23" s="7" t="n">
        <v>1</v>
      </c>
      <c r="K23" s="7" t="n">
        <v>0</v>
      </c>
      <c r="L23" s="7" t="n">
        <v>0</v>
      </c>
      <c r="M23" s="9">
        <f>IF(J23&gt;1,J23*F23*3&amp;" × "&amp;G23*3&amp;"（"&amp;J23&amp;" 帧横排）",F23*3&amp;" × "&amp;G23*3)</f>
        <v/>
      </c>
    </row>
    <row r="24">
      <c r="A24" s="6" t="inlineStr">
        <is>
          <t>tower.frost.p3</t>
        </is>
      </c>
      <c r="B24" s="9" t="inlineStr">
        <is>
          <t>装置进化</t>
        </is>
      </c>
      <c r="C24" s="9" t="inlineStr">
        <is>
          <t>洒水器 第 3 条路线升到 3 级以上作为主路线时的外观</t>
        </is>
      </c>
      <c r="D24" s="9" t="inlineStr">
        <is>
          <t>P3</t>
        </is>
      </c>
      <c r="E24" s="8" t="inlineStr"/>
      <c r="F24" s="7" t="n">
        <v>44</v>
      </c>
      <c r="G24" s="7" t="n">
        <v>54</v>
      </c>
      <c r="H24" s="7" t="n">
        <v>0.5</v>
      </c>
      <c r="I24" s="7" t="n">
        <v>0.92</v>
      </c>
      <c r="J24" s="7" t="n">
        <v>1</v>
      </c>
      <c r="K24" s="7" t="n">
        <v>0</v>
      </c>
      <c r="L24" s="7" t="n">
        <v>0</v>
      </c>
      <c r="M24" s="9">
        <f>IF(J24&gt;1,J24*F24*3&amp;" × "&amp;G24*3&amp;"（"&amp;J24&amp;" 帧横排）",F24*3&amp;" × "&amp;G24*3)</f>
        <v/>
      </c>
    </row>
    <row r="25">
      <c r="A25" s="6" t="inlineStr">
        <is>
          <t>tower.sniper.p1</t>
        </is>
      </c>
      <c r="B25" s="9" t="inlineStr">
        <is>
          <t>装置进化</t>
        </is>
      </c>
      <c r="C25" s="9" t="inlineStr">
        <is>
          <t>鞋盒无人机 第 1 条路线升到 3 级以上作为主路线时的外观</t>
        </is>
      </c>
      <c r="D25" s="9" t="inlineStr">
        <is>
          <t>P3</t>
        </is>
      </c>
      <c r="E25" s="8" t="inlineStr"/>
      <c r="F25" s="7" t="n">
        <v>44</v>
      </c>
      <c r="G25" s="7" t="n">
        <v>54</v>
      </c>
      <c r="H25" s="7" t="n">
        <v>0.5</v>
      </c>
      <c r="I25" s="7" t="n">
        <v>0.92</v>
      </c>
      <c r="J25" s="7" t="n">
        <v>1</v>
      </c>
      <c r="K25" s="7" t="n">
        <v>0</v>
      </c>
      <c r="L25" s="7" t="n">
        <v>0</v>
      </c>
      <c r="M25" s="9">
        <f>IF(J25&gt;1,J25*F25*3&amp;" × "&amp;G25*3&amp;"（"&amp;J25&amp;" 帧横排）",F25*3&amp;" × "&amp;G25*3)</f>
        <v/>
      </c>
    </row>
    <row r="26">
      <c r="A26" s="6" t="inlineStr">
        <is>
          <t>tower.sniper.p2</t>
        </is>
      </c>
      <c r="B26" s="9" t="inlineStr">
        <is>
          <t>装置进化</t>
        </is>
      </c>
      <c r="C26" s="9" t="inlineStr">
        <is>
          <t>鞋盒无人机 第 2 条路线升到 3 级以上作为主路线时的外观</t>
        </is>
      </c>
      <c r="D26" s="9" t="inlineStr">
        <is>
          <t>P3</t>
        </is>
      </c>
      <c r="E26" s="8" t="inlineStr"/>
      <c r="F26" s="7" t="n">
        <v>44</v>
      </c>
      <c r="G26" s="7" t="n">
        <v>54</v>
      </c>
      <c r="H26" s="7" t="n">
        <v>0.5</v>
      </c>
      <c r="I26" s="7" t="n">
        <v>0.92</v>
      </c>
      <c r="J26" s="7" t="n">
        <v>1</v>
      </c>
      <c r="K26" s="7" t="n">
        <v>0</v>
      </c>
      <c r="L26" s="7" t="n">
        <v>0</v>
      </c>
      <c r="M26" s="9">
        <f>IF(J26&gt;1,J26*F26*3&amp;" × "&amp;G26*3&amp;"（"&amp;J26&amp;" 帧横排）",F26*3&amp;" × "&amp;G26*3)</f>
        <v/>
      </c>
    </row>
    <row r="27">
      <c r="A27" s="6" t="inlineStr">
        <is>
          <t>tower.sniper.p3</t>
        </is>
      </c>
      <c r="B27" s="9" t="inlineStr">
        <is>
          <t>装置进化</t>
        </is>
      </c>
      <c r="C27" s="9" t="inlineStr">
        <is>
          <t>鞋盒无人机 第 3 条路线升到 3 级以上作为主路线时的外观</t>
        </is>
      </c>
      <c r="D27" s="9" t="inlineStr">
        <is>
          <t>P3</t>
        </is>
      </c>
      <c r="E27" s="8" t="inlineStr"/>
      <c r="F27" s="7" t="n">
        <v>44</v>
      </c>
      <c r="G27" s="7" t="n">
        <v>54</v>
      </c>
      <c r="H27" s="7" t="n">
        <v>0.5</v>
      </c>
      <c r="I27" s="7" t="n">
        <v>0.92</v>
      </c>
      <c r="J27" s="7" t="n">
        <v>1</v>
      </c>
      <c r="K27" s="7" t="n">
        <v>0</v>
      </c>
      <c r="L27" s="7" t="n">
        <v>0</v>
      </c>
      <c r="M27" s="9">
        <f>IF(J27&gt;1,J27*F27*3&amp;" × "&amp;G27*3&amp;"（"&amp;J27&amp;" 帧横排）",F27*3&amp;" × "&amp;G27*3)</f>
        <v/>
      </c>
    </row>
    <row r="28">
      <c r="A28" s="6" t="inlineStr">
        <is>
          <t>tower.tesla.p1</t>
        </is>
      </c>
      <c r="B28" s="9" t="inlineStr">
        <is>
          <t>装置进化</t>
        </is>
      </c>
      <c r="C28" s="9" t="inlineStr">
        <is>
          <t>广场舞音响 第 1 条路线升到 3 级以上作为主路线时的外观</t>
        </is>
      </c>
      <c r="D28" s="9" t="inlineStr">
        <is>
          <t>P3</t>
        </is>
      </c>
      <c r="E28" s="8" t="inlineStr"/>
      <c r="F28" s="7" t="n">
        <v>44</v>
      </c>
      <c r="G28" s="7" t="n">
        <v>54</v>
      </c>
      <c r="H28" s="7" t="n">
        <v>0.5</v>
      </c>
      <c r="I28" s="7" t="n">
        <v>0.92</v>
      </c>
      <c r="J28" s="7" t="n">
        <v>1</v>
      </c>
      <c r="K28" s="7" t="n">
        <v>0</v>
      </c>
      <c r="L28" s="7" t="n">
        <v>0</v>
      </c>
      <c r="M28" s="9">
        <f>IF(J28&gt;1,J28*F28*3&amp;" × "&amp;G28*3&amp;"（"&amp;J28&amp;" 帧横排）",F28*3&amp;" × "&amp;G28*3)</f>
        <v/>
      </c>
    </row>
    <row r="29">
      <c r="A29" s="6" t="inlineStr">
        <is>
          <t>tower.tesla.p2</t>
        </is>
      </c>
      <c r="B29" s="9" t="inlineStr">
        <is>
          <t>装置进化</t>
        </is>
      </c>
      <c r="C29" s="9" t="inlineStr">
        <is>
          <t>广场舞音响 第 2 条路线升到 3 级以上作为主路线时的外观</t>
        </is>
      </c>
      <c r="D29" s="9" t="inlineStr">
        <is>
          <t>P3</t>
        </is>
      </c>
      <c r="E29" s="8" t="inlineStr"/>
      <c r="F29" s="7" t="n">
        <v>44</v>
      </c>
      <c r="G29" s="7" t="n">
        <v>54</v>
      </c>
      <c r="H29" s="7" t="n">
        <v>0.5</v>
      </c>
      <c r="I29" s="7" t="n">
        <v>0.92</v>
      </c>
      <c r="J29" s="7" t="n">
        <v>1</v>
      </c>
      <c r="K29" s="7" t="n">
        <v>0</v>
      </c>
      <c r="L29" s="7" t="n">
        <v>0</v>
      </c>
      <c r="M29" s="9">
        <f>IF(J29&gt;1,J29*F29*3&amp;" × "&amp;G29*3&amp;"（"&amp;J29&amp;" 帧横排）",F29*3&amp;" × "&amp;G29*3)</f>
        <v/>
      </c>
    </row>
    <row r="30">
      <c r="A30" s="6" t="inlineStr">
        <is>
          <t>tower.tesla.p3</t>
        </is>
      </c>
      <c r="B30" s="9" t="inlineStr">
        <is>
          <t>装置进化</t>
        </is>
      </c>
      <c r="C30" s="9" t="inlineStr">
        <is>
          <t>广场舞音响 第 3 条路线升到 3 级以上作为主路线时的外观</t>
        </is>
      </c>
      <c r="D30" s="9" t="inlineStr">
        <is>
          <t>P3</t>
        </is>
      </c>
      <c r="E30" s="8" t="inlineStr"/>
      <c r="F30" s="7" t="n">
        <v>44</v>
      </c>
      <c r="G30" s="7" t="n">
        <v>54</v>
      </c>
      <c r="H30" s="7" t="n">
        <v>0.5</v>
      </c>
      <c r="I30" s="7" t="n">
        <v>0.92</v>
      </c>
      <c r="J30" s="7" t="n">
        <v>1</v>
      </c>
      <c r="K30" s="7" t="n">
        <v>0</v>
      </c>
      <c r="L30" s="7" t="n">
        <v>0</v>
      </c>
      <c r="M30" s="9">
        <f>IF(J30&gt;1,J30*F30*3&amp;" × "&amp;G30*3&amp;"（"&amp;J30&amp;" 帧横排）",F30*3&amp;" × "&amp;G30*3)</f>
        <v/>
      </c>
    </row>
    <row r="31">
      <c r="A31" s="6" t="inlineStr">
        <is>
          <t>tower.gem.p1</t>
        </is>
      </c>
      <c r="B31" s="9" t="inlineStr">
        <is>
          <t>装置进化</t>
        </is>
      </c>
      <c r="C31" s="9" t="inlineStr">
        <is>
          <t>宝石发射器 第 1 条路线升到 3 级以上作为主路线时的外观</t>
        </is>
      </c>
      <c r="D31" s="9" t="inlineStr">
        <is>
          <t>P3</t>
        </is>
      </c>
      <c r="E31" s="8" t="inlineStr"/>
      <c r="F31" s="7" t="n">
        <v>44</v>
      </c>
      <c r="G31" s="7" t="n">
        <v>54</v>
      </c>
      <c r="H31" s="7" t="n">
        <v>0.5</v>
      </c>
      <c r="I31" s="7" t="n">
        <v>0.92</v>
      </c>
      <c r="J31" s="7" t="n">
        <v>1</v>
      </c>
      <c r="K31" s="7" t="n">
        <v>0</v>
      </c>
      <c r="L31" s="7" t="n">
        <v>0</v>
      </c>
      <c r="M31" s="9">
        <f>IF(J31&gt;1,J31*F31*3&amp;" × "&amp;G31*3&amp;"（"&amp;J31&amp;" 帧横排）",F31*3&amp;" × "&amp;G31*3)</f>
        <v/>
      </c>
    </row>
    <row r="32">
      <c r="A32" s="6" t="inlineStr">
        <is>
          <t>tower.gem.p2</t>
        </is>
      </c>
      <c r="B32" s="9" t="inlineStr">
        <is>
          <t>装置进化</t>
        </is>
      </c>
      <c r="C32" s="9" t="inlineStr">
        <is>
          <t>宝石发射器 第 2 条路线升到 3 级以上作为主路线时的外观</t>
        </is>
      </c>
      <c r="D32" s="9" t="inlineStr">
        <is>
          <t>P3</t>
        </is>
      </c>
      <c r="E32" s="8" t="inlineStr"/>
      <c r="F32" s="7" t="n">
        <v>44</v>
      </c>
      <c r="G32" s="7" t="n">
        <v>54</v>
      </c>
      <c r="H32" s="7" t="n">
        <v>0.5</v>
      </c>
      <c r="I32" s="7" t="n">
        <v>0.92</v>
      </c>
      <c r="J32" s="7" t="n">
        <v>1</v>
      </c>
      <c r="K32" s="7" t="n">
        <v>0</v>
      </c>
      <c r="L32" s="7" t="n">
        <v>0</v>
      </c>
      <c r="M32" s="9">
        <f>IF(J32&gt;1,J32*F32*3&amp;" × "&amp;G32*3&amp;"（"&amp;J32&amp;" 帧横排）",F32*3&amp;" × "&amp;G32*3)</f>
        <v/>
      </c>
    </row>
    <row r="33">
      <c r="A33" s="6" t="inlineStr">
        <is>
          <t>tower.gem.p3</t>
        </is>
      </c>
      <c r="B33" s="9" t="inlineStr">
        <is>
          <t>装置进化</t>
        </is>
      </c>
      <c r="C33" s="9" t="inlineStr">
        <is>
          <t>宝石发射器 第 3 条路线升到 3 级以上作为主路线时的外观</t>
        </is>
      </c>
      <c r="D33" s="9" t="inlineStr">
        <is>
          <t>P3</t>
        </is>
      </c>
      <c r="E33" s="8" t="inlineStr"/>
      <c r="F33" s="7" t="n">
        <v>44</v>
      </c>
      <c r="G33" s="7" t="n">
        <v>54</v>
      </c>
      <c r="H33" s="7" t="n">
        <v>0.5</v>
      </c>
      <c r="I33" s="7" t="n">
        <v>0.92</v>
      </c>
      <c r="J33" s="7" t="n">
        <v>1</v>
      </c>
      <c r="K33" s="7" t="n">
        <v>0</v>
      </c>
      <c r="L33" s="7" t="n">
        <v>0</v>
      </c>
      <c r="M33" s="9">
        <f>IF(J33&gt;1,J33*F33*3&amp;" × "&amp;G33*3&amp;"（"&amp;J33&amp;" 帧横排）",F33*3&amp;" × "&amp;G33*3)</f>
        <v/>
      </c>
    </row>
    <row r="34">
      <c r="A34" s="6" t="inlineStr">
        <is>
          <t>tower.miner.p1</t>
        </is>
      </c>
      <c r="B34" s="9" t="inlineStr">
        <is>
          <t>装置进化</t>
        </is>
      </c>
      <c r="C34" s="9" t="inlineStr">
        <is>
          <t>矿机 第 1 条路线升到 3 级以上作为主路线时的外观</t>
        </is>
      </c>
      <c r="D34" s="9" t="inlineStr">
        <is>
          <t>P3</t>
        </is>
      </c>
      <c r="E34" s="8" t="inlineStr"/>
      <c r="F34" s="7" t="n">
        <v>44</v>
      </c>
      <c r="G34" s="7" t="n">
        <v>54</v>
      </c>
      <c r="H34" s="7" t="n">
        <v>0.5</v>
      </c>
      <c r="I34" s="7" t="n">
        <v>0.92</v>
      </c>
      <c r="J34" s="7" t="n">
        <v>1</v>
      </c>
      <c r="K34" s="7" t="n">
        <v>0</v>
      </c>
      <c r="L34" s="7" t="n">
        <v>0</v>
      </c>
      <c r="M34" s="9">
        <f>IF(J34&gt;1,J34*F34*3&amp;" × "&amp;G34*3&amp;"（"&amp;J34&amp;" 帧横排）",F34*3&amp;" × "&amp;G34*3)</f>
        <v/>
      </c>
    </row>
    <row r="35">
      <c r="A35" s="6" t="inlineStr">
        <is>
          <t>tower.miner.p2</t>
        </is>
      </c>
      <c r="B35" s="9" t="inlineStr">
        <is>
          <t>装置进化</t>
        </is>
      </c>
      <c r="C35" s="9" t="inlineStr">
        <is>
          <t>矿机 第 2 条路线升到 3 级以上作为主路线时的外观</t>
        </is>
      </c>
      <c r="D35" s="9" t="inlineStr">
        <is>
          <t>P3</t>
        </is>
      </c>
      <c r="E35" s="8" t="inlineStr"/>
      <c r="F35" s="7" t="n">
        <v>44</v>
      </c>
      <c r="G35" s="7" t="n">
        <v>54</v>
      </c>
      <c r="H35" s="7" t="n">
        <v>0.5</v>
      </c>
      <c r="I35" s="7" t="n">
        <v>0.92</v>
      </c>
      <c r="J35" s="7" t="n">
        <v>1</v>
      </c>
      <c r="K35" s="7" t="n">
        <v>0</v>
      </c>
      <c r="L35" s="7" t="n">
        <v>0</v>
      </c>
      <c r="M35" s="9">
        <f>IF(J35&gt;1,J35*F35*3&amp;" × "&amp;G35*3&amp;"（"&amp;J35&amp;" 帧横排）",F35*3&amp;" × "&amp;G35*3)</f>
        <v/>
      </c>
    </row>
    <row r="36">
      <c r="A36" s="6" t="inlineStr">
        <is>
          <t>tower.miner.p3</t>
        </is>
      </c>
      <c r="B36" s="9" t="inlineStr">
        <is>
          <t>装置进化</t>
        </is>
      </c>
      <c r="C36" s="9" t="inlineStr">
        <is>
          <t>矿机 第 3 条路线升到 3 级以上作为主路线时的外观</t>
        </is>
      </c>
      <c r="D36" s="9" t="inlineStr">
        <is>
          <t>P3</t>
        </is>
      </c>
      <c r="E36" s="8" t="inlineStr"/>
      <c r="F36" s="7" t="n">
        <v>44</v>
      </c>
      <c r="G36" s="7" t="n">
        <v>54</v>
      </c>
      <c r="H36" s="7" t="n">
        <v>0.5</v>
      </c>
      <c r="I36" s="7" t="n">
        <v>0.92</v>
      </c>
      <c r="J36" s="7" t="n">
        <v>1</v>
      </c>
      <c r="K36" s="7" t="n">
        <v>0</v>
      </c>
      <c r="L36" s="7" t="n">
        <v>0</v>
      </c>
      <c r="M36" s="9">
        <f>IF(J36&gt;1,J36*F36*3&amp;" × "&amp;G36*3&amp;"（"&amp;J36&amp;" 帧横排）",F36*3&amp;" × "&amp;G36*3)</f>
        <v/>
      </c>
    </row>
    <row r="37">
      <c r="A37" s="6" t="inlineStr">
        <is>
          <t>pad.empty</t>
        </is>
      </c>
      <c r="B37" s="9" t="inlineStr">
        <is>
          <t>空位</t>
        </is>
      </c>
      <c r="C37" s="9" t="inlineStr">
        <is>
          <t>可放置装置的空位（石台 + 加号）</t>
        </is>
      </c>
      <c r="D37" s="9" t="inlineStr">
        <is>
          <t>P2</t>
        </is>
      </c>
      <c r="E37" s="8" t="inlineStr"/>
      <c r="F37" s="7" t="n">
        <v>36</v>
      </c>
      <c r="G37" s="7" t="n">
        <v>22</v>
      </c>
      <c r="H37" s="7" t="n">
        <v>0.5</v>
      </c>
      <c r="I37" s="7" t="n">
        <v>1</v>
      </c>
      <c r="J37" s="7" t="n">
        <v>1</v>
      </c>
      <c r="K37" s="7" t="n">
        <v>0</v>
      </c>
      <c r="L37" s="7" t="n">
        <v>0</v>
      </c>
      <c r="M37" s="9">
        <f>IF(J37&gt;1,J37*F37*3&amp;" × "&amp;G37*3&amp;"（"&amp;J37&amp;" 帧横排）",F37*3&amp;" × "&amp;G37*3)</f>
        <v/>
      </c>
    </row>
    <row r="38">
      <c r="A38" s="6" t="inlineStr">
        <is>
          <t>pad.base</t>
        </is>
      </c>
      <c r="B38" s="9" t="inlineStr">
        <is>
          <t>空位</t>
        </is>
      </c>
      <c r="C38" s="9" t="inlineStr">
        <is>
          <t>装置脚下的底座</t>
        </is>
      </c>
      <c r="D38" s="9" t="inlineStr">
        <is>
          <t>P2</t>
        </is>
      </c>
      <c r="E38" s="8" t="inlineStr"/>
      <c r="F38" s="7" t="n">
        <v>36</v>
      </c>
      <c r="G38" s="7" t="n">
        <v>22</v>
      </c>
      <c r="H38" s="7" t="n">
        <v>0.5</v>
      </c>
      <c r="I38" s="7" t="n">
        <v>1</v>
      </c>
      <c r="J38" s="7" t="n">
        <v>1</v>
      </c>
      <c r="K38" s="7" t="n">
        <v>0</v>
      </c>
      <c r="L38" s="7" t="n">
        <v>0</v>
      </c>
      <c r="M38" s="9">
        <f>IF(J38&gt;1,J38*F38*3&amp;" × "&amp;G38*3&amp;"（"&amp;J38&amp;" 帧横排）",F38*3&amp;" × "&amp;G38*3)</f>
        <v/>
      </c>
    </row>
    <row r="39">
      <c r="A39" s="6" t="inlineStr">
        <is>
          <t>runner.norm</t>
        </is>
      </c>
      <c r="B39" s="9" t="inlineStr">
        <is>
          <t>跑者</t>
        </is>
      </c>
      <c r="C39" s="9" t="inlineStr">
        <is>
          <t>慢跑者，侧面向右跑；横向序列帧</t>
        </is>
      </c>
      <c r="D39" s="9" t="inlineStr">
        <is>
          <t>P1 样板关</t>
        </is>
      </c>
      <c r="E39" s="8" t="inlineStr"/>
      <c r="F39" s="7" t="n">
        <v>30</v>
      </c>
      <c r="G39" s="7" t="n">
        <v>36</v>
      </c>
      <c r="H39" s="7" t="n">
        <v>0.5</v>
      </c>
      <c r="I39" s="7" t="n">
        <v>1</v>
      </c>
      <c r="J39" s="7" t="n">
        <v>6</v>
      </c>
      <c r="K39" s="7" t="n">
        <v>10</v>
      </c>
      <c r="L39" s="7" t="n">
        <v>0</v>
      </c>
      <c r="M39" s="9">
        <f>IF(J39&gt;1,J39*F39*3&amp;" × "&amp;G39*3&amp;"（"&amp;J39&amp;" 帧横排）",F39*3&amp;" × "&amp;G39*3)</f>
        <v/>
      </c>
    </row>
    <row r="40">
      <c r="A40" s="6" t="inlineStr">
        <is>
          <t>runner.arm</t>
        </is>
      </c>
      <c r="B40" s="9" t="inlineStr">
        <is>
          <t>跑者</t>
        </is>
      </c>
      <c r="C40" s="9" t="inlineStr">
        <is>
          <t>耐力跑者（更壮、带护具）</t>
        </is>
      </c>
      <c r="D40" s="9" t="inlineStr">
        <is>
          <t>P1 样板关</t>
        </is>
      </c>
      <c r="E40" s="8" t="inlineStr"/>
      <c r="F40" s="7" t="n">
        <v>34</v>
      </c>
      <c r="G40" s="7" t="n">
        <v>42</v>
      </c>
      <c r="H40" s="7" t="n">
        <v>0.5</v>
      </c>
      <c r="I40" s="7" t="n">
        <v>1</v>
      </c>
      <c r="J40" s="7" t="n">
        <v>6</v>
      </c>
      <c r="K40" s="7" t="n">
        <v>10</v>
      </c>
      <c r="L40" s="7" t="n">
        <v>0</v>
      </c>
      <c r="M40" s="9">
        <f>IF(J40&gt;1,J40*F40*3&amp;" × "&amp;G40*3&amp;"（"&amp;J40&amp;" 帧横排）",F40*3&amp;" × "&amp;G40*3)</f>
        <v/>
      </c>
    </row>
    <row r="41">
      <c r="A41" s="6" t="inlineStr">
        <is>
          <t>runner.mini</t>
        </is>
      </c>
      <c r="B41" s="9" t="inlineStr">
        <is>
          <t>跑者</t>
        </is>
      </c>
      <c r="C41" s="9" t="inlineStr">
        <is>
          <t>跑团分裂出的小跑者</t>
        </is>
      </c>
      <c r="D41" s="9" t="inlineStr">
        <is>
          <t>P2</t>
        </is>
      </c>
      <c r="E41" s="8" t="inlineStr"/>
      <c r="F41" s="7" t="n">
        <v>22</v>
      </c>
      <c r="G41" s="7" t="n">
        <v>26</v>
      </c>
      <c r="H41" s="7" t="n">
        <v>0.5</v>
      </c>
      <c r="I41" s="7" t="n">
        <v>1</v>
      </c>
      <c r="J41" s="7" t="n">
        <v>6</v>
      </c>
      <c r="K41" s="7" t="n">
        <v>12</v>
      </c>
      <c r="L41" s="7" t="n">
        <v>0</v>
      </c>
      <c r="M41" s="9">
        <f>IF(J41&gt;1,J41*F41*3&amp;" × "&amp;G41*3&amp;"（"&amp;J41&amp;" 帧横排）",F41*3&amp;" × "&amp;G41*3)</f>
        <v/>
      </c>
    </row>
    <row r="42">
      <c r="A42" s="6" t="inlineStr">
        <is>
          <t>runner.gold</t>
        </is>
      </c>
      <c r="B42" s="9" t="inlineStr">
        <is>
          <t>跑者</t>
        </is>
      </c>
      <c r="C42" s="9" t="inlineStr">
        <is>
          <t>Aurum 召唤的金甲跑者</t>
        </is>
      </c>
      <c r="D42" s="9" t="inlineStr">
        <is>
          <t>P2</t>
        </is>
      </c>
      <c r="E42" s="8" t="inlineStr"/>
      <c r="F42" s="7" t="n">
        <v>32</v>
      </c>
      <c r="G42" s="7" t="n">
        <v>38</v>
      </c>
      <c r="H42" s="7" t="n">
        <v>0.5</v>
      </c>
      <c r="I42" s="7" t="n">
        <v>1</v>
      </c>
      <c r="J42" s="7" t="n">
        <v>6</v>
      </c>
      <c r="K42" s="7" t="n">
        <v>10</v>
      </c>
      <c r="L42" s="7" t="n">
        <v>0</v>
      </c>
      <c r="M42" s="9">
        <f>IF(J42&gt;1,J42*F42*3&amp;" × "&amp;G42*3&amp;"（"&amp;J42&amp;" 帧横排）",F42*3&amp;" × "&amp;G42*3)</f>
        <v/>
      </c>
    </row>
    <row r="43">
      <c r="A43" s="6" t="inlineStr">
        <is>
          <t>boss.yawn</t>
        </is>
      </c>
      <c r="B43" s="9" t="inlineStr">
        <is>
          <t>Boss</t>
        </is>
      </c>
      <c r="C43" s="9" t="inlineStr">
        <is>
          <t>Nox（黑猫，九命），侧面向右跑；真人原型需本人同意</t>
        </is>
      </c>
      <c r="D43" s="9" t="inlineStr">
        <is>
          <t>P1 样板关</t>
        </is>
      </c>
      <c r="E43" s="8" t="inlineStr"/>
      <c r="F43" s="7" t="n">
        <v>72</v>
      </c>
      <c r="G43" s="7" t="n">
        <v>56</v>
      </c>
      <c r="H43" s="7" t="n">
        <v>0.5</v>
      </c>
      <c r="I43" s="7" t="n">
        <v>1</v>
      </c>
      <c r="J43" s="7" t="n">
        <v>6</v>
      </c>
      <c r="K43" s="7" t="n">
        <v>8</v>
      </c>
      <c r="L43" s="7" t="n">
        <v>0</v>
      </c>
      <c r="M43" s="9">
        <f>IF(J43&gt;1,J43*F43*3&amp;" × "&amp;G43*3&amp;"（"&amp;J43&amp;" 帧横排）",F43*3&amp;" × "&amp;G43*3)</f>
        <v/>
      </c>
    </row>
    <row r="44">
      <c r="A44" s="6" t="inlineStr">
        <is>
          <t>boss.gilg</t>
        </is>
      </c>
      <c r="B44" s="9" t="inlineStr">
        <is>
          <t>Boss</t>
        </is>
      </c>
      <c r="C44" s="9" t="inlineStr">
        <is>
          <t>Aurum，侧面向右跑；真人原型需本人同意</t>
        </is>
      </c>
      <c r="D44" s="9" t="inlineStr">
        <is>
          <t>P2</t>
        </is>
      </c>
      <c r="E44" s="8" t="inlineStr"/>
      <c r="F44" s="7" t="n">
        <v>64</v>
      </c>
      <c r="G44" s="7" t="n">
        <v>80</v>
      </c>
      <c r="H44" s="7" t="n">
        <v>0.5</v>
      </c>
      <c r="I44" s="7" t="n">
        <v>1</v>
      </c>
      <c r="J44" s="7" t="n">
        <v>6</v>
      </c>
      <c r="K44" s="7" t="n">
        <v>8</v>
      </c>
      <c r="L44" s="7" t="n">
        <v>0</v>
      </c>
      <c r="M44" s="9">
        <f>IF(J44&gt;1,J44*F44*3&amp;" × "&amp;G44*3&amp;"（"&amp;J44&amp;" 帧横排）",F44*3&amp;" × "&amp;G44*3)</f>
        <v/>
      </c>
    </row>
    <row r="45">
      <c r="A45" s="6" t="inlineStr">
        <is>
          <t>boss.king</t>
        </is>
      </c>
      <c r="B45" s="9" t="inlineStr">
        <is>
          <t>Boss</t>
        </is>
      </c>
      <c r="C45" s="9" t="inlineStr">
        <is>
          <t>Slimo，侧面向右跑；真人原型需本人同意</t>
        </is>
      </c>
      <c r="D45" s="9" t="inlineStr">
        <is>
          <t>P2</t>
        </is>
      </c>
      <c r="E45" s="8" t="inlineStr"/>
      <c r="F45" s="7" t="n">
        <v>64</v>
      </c>
      <c r="G45" s="7" t="n">
        <v>80</v>
      </c>
      <c r="H45" s="7" t="n">
        <v>0.5</v>
      </c>
      <c r="I45" s="7" t="n">
        <v>1</v>
      </c>
      <c r="J45" s="7" t="n">
        <v>6</v>
      </c>
      <c r="K45" s="7" t="n">
        <v>8</v>
      </c>
      <c r="L45" s="7" t="n">
        <v>0</v>
      </c>
      <c r="M45" s="9">
        <f>IF(J45&gt;1,J45*F45*3&amp;" × "&amp;G45*3&amp;"（"&amp;J45&amp;" 帧横排）",F45*3&amp;" × "&amp;G45*3)</f>
        <v/>
      </c>
    </row>
    <row r="46">
      <c r="A46" s="6" t="inlineStr">
        <is>
          <t>boss.lucas</t>
        </is>
      </c>
      <c r="B46" s="9" t="inlineStr">
        <is>
          <t>Boss</t>
        </is>
      </c>
      <c r="C46" s="9" t="inlineStr">
        <is>
          <t>Rocco，侧面向右跑；真人原型需本人同意</t>
        </is>
      </c>
      <c r="D46" s="9" t="inlineStr">
        <is>
          <t>P2</t>
        </is>
      </c>
      <c r="E46" s="8" t="inlineStr"/>
      <c r="F46" s="7" t="n">
        <v>64</v>
      </c>
      <c r="G46" s="7" t="n">
        <v>80</v>
      </c>
      <c r="H46" s="7" t="n">
        <v>0.5</v>
      </c>
      <c r="I46" s="7" t="n">
        <v>1</v>
      </c>
      <c r="J46" s="7" t="n">
        <v>6</v>
      </c>
      <c r="K46" s="7" t="n">
        <v>8</v>
      </c>
      <c r="L46" s="7" t="n">
        <v>0</v>
      </c>
      <c r="M46" s="9">
        <f>IF(J46&gt;1,J46*F46*3&amp;" × "&amp;G46*3&amp;"（"&amp;J46&amp;" 帧横排）",F46*3&amp;" × "&amp;G46*3)</f>
        <v/>
      </c>
    </row>
    <row r="47">
      <c r="A47" s="6" t="inlineStr">
        <is>
          <t>boss.shiti</t>
        </is>
      </c>
      <c r="B47" s="9" t="inlineStr">
        <is>
          <t>Boss</t>
        </is>
      </c>
      <c r="C47" s="9" t="inlineStr">
        <is>
          <t>Chuckles，侧面向右跑；真人原型需本人同意</t>
        </is>
      </c>
      <c r="D47" s="9" t="inlineStr">
        <is>
          <t>P2</t>
        </is>
      </c>
      <c r="E47" s="8" t="inlineStr"/>
      <c r="F47" s="7" t="n">
        <v>64</v>
      </c>
      <c r="G47" s="7" t="n">
        <v>80</v>
      </c>
      <c r="H47" s="7" t="n">
        <v>0.5</v>
      </c>
      <c r="I47" s="7" t="n">
        <v>1</v>
      </c>
      <c r="J47" s="7" t="n">
        <v>6</v>
      </c>
      <c r="K47" s="7" t="n">
        <v>8</v>
      </c>
      <c r="L47" s="7" t="n">
        <v>0</v>
      </c>
      <c r="M47" s="9">
        <f>IF(J47&gt;1,J47*F47*3&amp;" × "&amp;G47*3&amp;"（"&amp;J47&amp;" 帧横排）",F47*3&amp;" × "&amp;G47*3)</f>
        <v/>
      </c>
    </row>
    <row r="48">
      <c r="A48" s="6" t="inlineStr">
        <is>
          <t>boss.jerry</t>
        </is>
      </c>
      <c r="B48" s="9" t="inlineStr">
        <is>
          <t>Boss</t>
        </is>
      </c>
      <c r="C48" s="9" t="inlineStr">
        <is>
          <t>Datto，侧面向右跑；真人原型需本人同意</t>
        </is>
      </c>
      <c r="D48" s="9" t="inlineStr">
        <is>
          <t>P2</t>
        </is>
      </c>
      <c r="E48" s="8" t="inlineStr"/>
      <c r="F48" s="7" t="n">
        <v>64</v>
      </c>
      <c r="G48" s="7" t="n">
        <v>80</v>
      </c>
      <c r="H48" s="7" t="n">
        <v>0.5</v>
      </c>
      <c r="I48" s="7" t="n">
        <v>1</v>
      </c>
      <c r="J48" s="7" t="n">
        <v>6</v>
      </c>
      <c r="K48" s="7" t="n">
        <v>8</v>
      </c>
      <c r="L48" s="7" t="n">
        <v>0</v>
      </c>
      <c r="M48" s="9">
        <f>IF(J48&gt;1,J48*F48*3&amp;" × "&amp;G48*3&amp;"（"&amp;J48&amp;" 帧横排）",F48*3&amp;" × "&amp;G48*3)</f>
        <v/>
      </c>
    </row>
    <row r="49">
      <c r="A49" s="6" t="inlineStr">
        <is>
          <t>boss.pizza</t>
        </is>
      </c>
      <c r="B49" s="9" t="inlineStr">
        <is>
          <t>Boss</t>
        </is>
      </c>
      <c r="C49" s="9" t="inlineStr">
        <is>
          <t>Pizza Rider（披萨外卖员），侧面向右跑；真人原型需本人同意</t>
        </is>
      </c>
      <c r="D49" s="9" t="inlineStr">
        <is>
          <t>P2</t>
        </is>
      </c>
      <c r="E49" s="8" t="inlineStr"/>
      <c r="F49" s="7" t="n">
        <v>64</v>
      </c>
      <c r="G49" s="7" t="n">
        <v>80</v>
      </c>
      <c r="H49" s="7" t="n">
        <v>0.5</v>
      </c>
      <c r="I49" s="7" t="n">
        <v>1</v>
      </c>
      <c r="J49" s="7" t="n">
        <v>6</v>
      </c>
      <c r="K49" s="7" t="n">
        <v>8</v>
      </c>
      <c r="L49" s="7" t="n">
        <v>0</v>
      </c>
      <c r="M49" s="9">
        <f>IF(J49&gt;1,J49*F49*3&amp;" × "&amp;G49*3&amp;"（"&amp;J49&amp;" 帧横排）",F49*3&amp;" × "&amp;G49*3)</f>
        <v/>
      </c>
    </row>
    <row r="50">
      <c r="A50" s="6" t="inlineStr">
        <is>
          <t>boss.overflow</t>
        </is>
      </c>
      <c r="B50" s="9" t="inlineStr">
        <is>
          <t>Boss</t>
        </is>
      </c>
      <c r="C50" s="9" t="inlineStr">
        <is>
          <t>Overflow（溢出怪），侧面向右跑；真人原型需本人同意</t>
        </is>
      </c>
      <c r="D50" s="9" t="inlineStr">
        <is>
          <t>P2</t>
        </is>
      </c>
      <c r="E50" s="8" t="inlineStr"/>
      <c r="F50" s="7" t="n">
        <v>64</v>
      </c>
      <c r="G50" s="7" t="n">
        <v>80</v>
      </c>
      <c r="H50" s="7" t="n">
        <v>0.5</v>
      </c>
      <c r="I50" s="7" t="n">
        <v>1</v>
      </c>
      <c r="J50" s="7" t="n">
        <v>6</v>
      </c>
      <c r="K50" s="7" t="n">
        <v>8</v>
      </c>
      <c r="L50" s="7" t="n">
        <v>0</v>
      </c>
      <c r="M50" s="9">
        <f>IF(J50&gt;1,J50*F50*3&amp;" × "&amp;G50*3&amp;"（"&amp;J50&amp;" 帧横排）",F50*3&amp;" × "&amp;G50*3)</f>
        <v/>
      </c>
    </row>
    <row r="51">
      <c r="A51" s="6" t="inlineStr">
        <is>
          <t>proj.dart</t>
        </is>
      </c>
      <c r="B51" s="9" t="inlineStr">
        <is>
          <t>投射物</t>
        </is>
      </c>
      <c r="C51" s="9" t="inlineStr">
        <is>
          <t>飞行中的易拉罐（游戏会旋转它）</t>
        </is>
      </c>
      <c r="D51" s="9" t="inlineStr">
        <is>
          <t>P2</t>
        </is>
      </c>
      <c r="E51" s="8" t="inlineStr"/>
      <c r="F51" s="7" t="n">
        <v>10</v>
      </c>
      <c r="G51" s="7" t="n">
        <v>12</v>
      </c>
      <c r="H51" s="7" t="n">
        <v>0.5</v>
      </c>
      <c r="I51" s="7" t="n">
        <v>0.5</v>
      </c>
      <c r="J51" s="7" t="n">
        <v>1</v>
      </c>
      <c r="K51" s="7" t="n">
        <v>0</v>
      </c>
      <c r="L51" s="7" t="n">
        <v>0</v>
      </c>
      <c r="M51" s="9">
        <f>IF(J51&gt;1,J51*F51*3&amp;" × "&amp;G51*3&amp;"（"&amp;J51&amp;" 帧横排）",F51*3&amp;" × "&amp;G51*3)</f>
        <v/>
      </c>
    </row>
    <row r="52">
      <c r="A52" s="6" t="inlineStr">
        <is>
          <t>proj.bomb</t>
        </is>
      </c>
      <c r="B52" s="9" t="inlineStr">
        <is>
          <t>投射物</t>
        </is>
      </c>
      <c r="C52" s="9" t="inlineStr">
        <is>
          <t>飞行中的香蕉皮</t>
        </is>
      </c>
      <c r="D52" s="9" t="inlineStr">
        <is>
          <t>P2</t>
        </is>
      </c>
      <c r="E52" s="8" t="inlineStr"/>
      <c r="F52" s="7" t="n">
        <v>14</v>
      </c>
      <c r="G52" s="7" t="n">
        <v>12</v>
      </c>
      <c r="H52" s="7" t="n">
        <v>0.5</v>
      </c>
      <c r="I52" s="7" t="n">
        <v>0.5</v>
      </c>
      <c r="J52" s="7" t="n">
        <v>1</v>
      </c>
      <c r="K52" s="7" t="n">
        <v>0</v>
      </c>
      <c r="L52" s="7" t="n">
        <v>0</v>
      </c>
      <c r="M52" s="9">
        <f>IF(J52&gt;1,J52*F52*3&amp;" × "&amp;G52*3&amp;"（"&amp;J52&amp;" 帧横排）",F52*3&amp;" × "&amp;G52*3)</f>
        <v/>
      </c>
    </row>
    <row r="53">
      <c r="A53" s="6" t="inlineStr">
        <is>
          <t>proj.drop</t>
        </is>
      </c>
      <c r="B53" s="9" t="inlineStr">
        <is>
          <t>投射物</t>
        </is>
      </c>
      <c r="C53" s="9" t="inlineStr">
        <is>
          <t>无人机空投的鞋盒</t>
        </is>
      </c>
      <c r="D53" s="9" t="inlineStr">
        <is>
          <t>P2</t>
        </is>
      </c>
      <c r="E53" s="8" t="inlineStr"/>
      <c r="F53" s="7" t="n">
        <v>16</v>
      </c>
      <c r="G53" s="7" t="n">
        <v>12</v>
      </c>
      <c r="H53" s="7" t="n">
        <v>0.5</v>
      </c>
      <c r="I53" s="7" t="n">
        <v>1</v>
      </c>
      <c r="J53" s="7" t="n">
        <v>1</v>
      </c>
      <c r="K53" s="7" t="n">
        <v>0</v>
      </c>
      <c r="L53" s="7" t="n">
        <v>0</v>
      </c>
      <c r="M53" s="9">
        <f>IF(J53&gt;1,J53*F53*3&amp;" × "&amp;G53*3&amp;"（"&amp;J53&amp;" 帧横排）",F53*3&amp;" × "&amp;G53*3)</f>
        <v/>
      </c>
    </row>
    <row r="54">
      <c r="A54" s="6" t="inlineStr">
        <is>
          <t>proj.gem.ruby</t>
        </is>
      </c>
      <c r="B54" s="9" t="inlineStr">
        <is>
          <t>投射物</t>
        </is>
      </c>
      <c r="C54" s="9" t="inlineStr">
        <is>
          <t>红宝石弹</t>
        </is>
      </c>
      <c r="D54" s="9" t="inlineStr">
        <is>
          <t>P2</t>
        </is>
      </c>
      <c r="E54" s="8" t="inlineStr"/>
      <c r="F54" s="7" t="n">
        <v>12</v>
      </c>
      <c r="G54" s="7" t="n">
        <v>12</v>
      </c>
      <c r="H54" s="7" t="n">
        <v>0.5</v>
      </c>
      <c r="I54" s="7" t="n">
        <v>0.5</v>
      </c>
      <c r="J54" s="7" t="n">
        <v>1</v>
      </c>
      <c r="K54" s="7" t="n">
        <v>0</v>
      </c>
      <c r="L54" s="7" t="n">
        <v>0</v>
      </c>
      <c r="M54" s="9">
        <f>IF(J54&gt;1,J54*F54*3&amp;" × "&amp;G54*3&amp;"（"&amp;J54&amp;" 帧横排）",F54*3&amp;" × "&amp;G54*3)</f>
        <v/>
      </c>
    </row>
    <row r="55">
      <c r="A55" s="6" t="inlineStr">
        <is>
          <t>proj.gem.topaz</t>
        </is>
      </c>
      <c r="B55" s="9" t="inlineStr">
        <is>
          <t>投射物</t>
        </is>
      </c>
      <c r="C55" s="9" t="inlineStr">
        <is>
          <t>黄宝石弹</t>
        </is>
      </c>
      <c r="D55" s="9" t="inlineStr">
        <is>
          <t>P2</t>
        </is>
      </c>
      <c r="E55" s="8" t="inlineStr"/>
      <c r="F55" s="7" t="n">
        <v>12</v>
      </c>
      <c r="G55" s="7" t="n">
        <v>12</v>
      </c>
      <c r="H55" s="7" t="n">
        <v>0.5</v>
      </c>
      <c r="I55" s="7" t="n">
        <v>0.5</v>
      </c>
      <c r="J55" s="7" t="n">
        <v>1</v>
      </c>
      <c r="K55" s="7" t="n">
        <v>0</v>
      </c>
      <c r="L55" s="7" t="n">
        <v>0</v>
      </c>
      <c r="M55" s="9">
        <f>IF(J55&gt;1,J55*F55*3&amp;" × "&amp;G55*3&amp;"（"&amp;J55&amp;" 帧横排）",F55*3&amp;" × "&amp;G55*3)</f>
        <v/>
      </c>
    </row>
    <row r="56">
      <c r="A56" s="6" t="inlineStr">
        <is>
          <t>proj.gem.sapphire</t>
        </is>
      </c>
      <c r="B56" s="9" t="inlineStr">
        <is>
          <t>投射物</t>
        </is>
      </c>
      <c r="C56" s="9" t="inlineStr">
        <is>
          <t>蓝宝石弹</t>
        </is>
      </c>
      <c r="D56" s="9" t="inlineStr">
        <is>
          <t>P2</t>
        </is>
      </c>
      <c r="E56" s="8" t="inlineStr"/>
      <c r="F56" s="7" t="n">
        <v>12</v>
      </c>
      <c r="G56" s="7" t="n">
        <v>12</v>
      </c>
      <c r="H56" s="7" t="n">
        <v>0.5</v>
      </c>
      <c r="I56" s="7" t="n">
        <v>0.5</v>
      </c>
      <c r="J56" s="7" t="n">
        <v>1</v>
      </c>
      <c r="K56" s="7" t="n">
        <v>0</v>
      </c>
      <c r="L56" s="7" t="n">
        <v>0</v>
      </c>
      <c r="M56" s="9">
        <f>IF(J56&gt;1,J56*F56*3&amp;" × "&amp;G56*3&amp;"（"&amp;J56&amp;" 帧横排）",F56*3&amp;" × "&amp;G56*3)</f>
        <v/>
      </c>
    </row>
    <row r="57">
      <c r="A57" s="6" t="inlineStr">
        <is>
          <t>proj.dropGold</t>
        </is>
      </c>
      <c r="B57" s="9" t="inlineStr">
        <is>
          <t>投射物</t>
        </is>
      </c>
      <c r="C57" s="9" t="inlineStr">
        <is>
          <t>金色神秘鞋盒（暴击空投）</t>
        </is>
      </c>
      <c r="D57" s="9" t="inlineStr">
        <is>
          <t>P3</t>
        </is>
      </c>
      <c r="E57" s="8" t="inlineStr"/>
      <c r="F57" s="7" t="n">
        <v>16</v>
      </c>
      <c r="G57" s="7" t="n">
        <v>12</v>
      </c>
      <c r="H57" s="7" t="n">
        <v>0.5</v>
      </c>
      <c r="I57" s="7" t="n">
        <v>1</v>
      </c>
      <c r="J57" s="7" t="n">
        <v>1</v>
      </c>
      <c r="K57" s="7" t="n">
        <v>0</v>
      </c>
      <c r="L57" s="7" t="n">
        <v>0</v>
      </c>
      <c r="M57" s="9">
        <f>IF(J57&gt;1,J57*F57*3&amp;" × "&amp;G57*3&amp;"（"&amp;J57&amp;" 帧横排）",F57*3&amp;" × "&amp;G57*3)</f>
        <v/>
      </c>
    </row>
    <row r="58">
      <c r="A58" s="6" t="inlineStr">
        <is>
          <t>fx.peel</t>
        </is>
      </c>
      <c r="B58" s="9" t="inlineStr">
        <is>
          <t>地面效果</t>
        </is>
      </c>
      <c r="C58" s="9" t="inlineStr">
        <is>
          <t>落在跑道上的香蕉皮</t>
        </is>
      </c>
      <c r="D58" s="9" t="inlineStr">
        <is>
          <t>P2</t>
        </is>
      </c>
      <c r="E58" s="8" t="inlineStr"/>
      <c r="F58" s="7" t="n">
        <v>18</v>
      </c>
      <c r="G58" s="7" t="n">
        <v>18</v>
      </c>
      <c r="H58" s="7" t="n">
        <v>0.5</v>
      </c>
      <c r="I58" s="7" t="n">
        <v>0.5</v>
      </c>
      <c r="J58" s="7" t="n">
        <v>1</v>
      </c>
      <c r="K58" s="7" t="n">
        <v>0</v>
      </c>
      <c r="L58" s="7" t="n">
        <v>0</v>
      </c>
      <c r="M58" s="9">
        <f>IF(J58&gt;1,J58*F58*3&amp;" × "&amp;G58*3&amp;"（"&amp;J58&amp;" 帧横排）",F58*3&amp;" × "&amp;G58*3)</f>
        <v/>
      </c>
    </row>
    <row r="59">
      <c r="A59" s="6" t="inlineStr">
        <is>
          <t>fx.chili</t>
        </is>
      </c>
      <c r="B59" s="9" t="inlineStr">
        <is>
          <t>地面效果</t>
        </is>
      </c>
      <c r="C59" s="9" t="inlineStr">
        <is>
          <t>辣椒油香蕉皮</t>
        </is>
      </c>
      <c r="D59" s="9" t="inlineStr">
        <is>
          <t>P3</t>
        </is>
      </c>
      <c r="E59" s="8" t="inlineStr"/>
      <c r="F59" s="7" t="n">
        <v>18</v>
      </c>
      <c r="G59" s="7" t="n">
        <v>18</v>
      </c>
      <c r="H59" s="7" t="n">
        <v>0.5</v>
      </c>
      <c r="I59" s="7" t="n">
        <v>0.5</v>
      </c>
      <c r="J59" s="7" t="n">
        <v>1</v>
      </c>
      <c r="K59" s="7" t="n">
        <v>0</v>
      </c>
      <c r="L59" s="7" t="n">
        <v>0</v>
      </c>
      <c r="M59" s="9">
        <f>IF(J59&gt;1,J59*F59*3&amp;" × "&amp;G59*3&amp;"（"&amp;J59&amp;" 帧横排）",F59*3&amp;" × "&amp;G59*3)</f>
        <v/>
      </c>
    </row>
    <row r="60">
      <c r="A60" s="6" t="inlineStr">
        <is>
          <t>icon.wave</t>
        </is>
      </c>
      <c r="B60" s="9" t="inlineStr">
        <is>
          <t>界面图标</t>
        </is>
      </c>
      <c r="C60" s="9" t="inlineStr">
        <is>
          <t>顶栏「波次」图标</t>
        </is>
      </c>
      <c r="D60" s="9" t="inlineStr">
        <is>
          <t>P2</t>
        </is>
      </c>
      <c r="E60" s="8" t="inlineStr"/>
      <c r="F60" s="7" t="n">
        <v>38</v>
      </c>
      <c r="G60" s="7" t="n">
        <v>38</v>
      </c>
      <c r="H60" s="7" t="n">
        <v>0.5</v>
      </c>
      <c r="I60" s="7" t="n">
        <v>0.5</v>
      </c>
      <c r="J60" s="7" t="n">
        <v>1</v>
      </c>
      <c r="K60" s="7" t="n">
        <v>0</v>
      </c>
      <c r="L60" s="7" t="n">
        <v>0</v>
      </c>
      <c r="M60" s="9">
        <f>IF(J60&gt;1,J60*F60*3&amp;" × "&amp;G60*3&amp;"（"&amp;J60&amp;" 帧横排）",F60*3&amp;" × "&amp;G60*3)</f>
        <v/>
      </c>
    </row>
    <row r="61">
      <c r="A61" s="6" t="inlineStr">
        <is>
          <t>icon.lives</t>
        </is>
      </c>
      <c r="B61" s="9" t="inlineStr">
        <is>
          <t>界面图标</t>
        </is>
      </c>
      <c r="C61" s="9" t="inlineStr">
        <is>
          <t>顶栏「生命」图标（心形）</t>
        </is>
      </c>
      <c r="D61" s="9" t="inlineStr">
        <is>
          <t>P2</t>
        </is>
      </c>
      <c r="E61" s="8" t="inlineStr"/>
      <c r="F61" s="7" t="n">
        <v>38</v>
      </c>
      <c r="G61" s="7" t="n">
        <v>38</v>
      </c>
      <c r="H61" s="7" t="n">
        <v>0.5</v>
      </c>
      <c r="I61" s="7" t="n">
        <v>0.5</v>
      </c>
      <c r="J61" s="7" t="n">
        <v>1</v>
      </c>
      <c r="K61" s="7" t="n">
        <v>0</v>
      </c>
      <c r="L61" s="7" t="n">
        <v>0</v>
      </c>
      <c r="M61" s="9">
        <f>IF(J61&gt;1,J61*F61*3&amp;" × "&amp;G61*3&amp;"（"&amp;J61&amp;" 帧横排）",F61*3&amp;" × "&amp;G61*3)</f>
        <v/>
      </c>
    </row>
    <row r="62">
      <c r="A62" s="6" t="inlineStr">
        <is>
          <t>icon.gst</t>
        </is>
      </c>
      <c r="B62" s="9" t="inlineStr">
        <is>
          <t>界面图标</t>
        </is>
      </c>
      <c r="C62" s="9" t="inlineStr">
        <is>
          <t>顶栏「GST」图标</t>
        </is>
      </c>
      <c r="D62" s="9" t="inlineStr">
        <is>
          <t>P2</t>
        </is>
      </c>
      <c r="E62" s="8" t="inlineStr"/>
      <c r="F62" s="7" t="n">
        <v>38</v>
      </c>
      <c r="G62" s="7" t="n">
        <v>38</v>
      </c>
      <c r="H62" s="7" t="n">
        <v>0.5</v>
      </c>
      <c r="I62" s="7" t="n">
        <v>0.5</v>
      </c>
      <c r="J62" s="7" t="n">
        <v>1</v>
      </c>
      <c r="K62" s="7" t="n">
        <v>0</v>
      </c>
      <c r="L62" s="7" t="n">
        <v>0</v>
      </c>
      <c r="M62" s="9">
        <f>IF(J62&gt;1,J62*F62*3&amp;" × "&amp;G62*3&amp;"（"&amp;J62&amp;" 帧横排）",F62*3&amp;" × "&amp;G62*3)</f>
        <v/>
      </c>
    </row>
    <row r="63">
      <c r="A63" s="6" t="inlineStr">
        <is>
          <t>icon.score</t>
        </is>
      </c>
      <c r="B63" s="9" t="inlineStr">
        <is>
          <t>界面图标</t>
        </is>
      </c>
      <c r="C63" s="9" t="inlineStr">
        <is>
          <t>顶栏「分数」图标</t>
        </is>
      </c>
      <c r="D63" s="9" t="inlineStr">
        <is>
          <t>P2</t>
        </is>
      </c>
      <c r="E63" s="8" t="inlineStr"/>
      <c r="F63" s="7" t="n">
        <v>38</v>
      </c>
      <c r="G63" s="7" t="n">
        <v>38</v>
      </c>
      <c r="H63" s="7" t="n">
        <v>0.5</v>
      </c>
      <c r="I63" s="7" t="n">
        <v>0.5</v>
      </c>
      <c r="J63" s="7" t="n">
        <v>1</v>
      </c>
      <c r="K63" s="7" t="n">
        <v>0</v>
      </c>
      <c r="L63" s="7" t="n">
        <v>0</v>
      </c>
      <c r="M63" s="9">
        <f>IF(J63&gt;1,J63*F63*3&amp;" × "&amp;G63*3&amp;"（"&amp;J63&amp;" 帧横排）",F63*3&amp;" × "&amp;G63*3)</f>
        <v/>
      </c>
    </row>
    <row r="65">
      <c r="A65" s="10" t="inlineStr">
        <is>
          <t>※ 图片地址填公开可访问的 https:// 链接（PNG / WebP，透明背景）；也可以不填，直接在游戏页面点「导入美术图片」，把文件名改成资源编号（如 tower.dart.png）一次选多张。</t>
        </is>
      </c>
    </row>
    <row r="66">
      <c r="A66" s="10" t="inlineStr">
        <is>
          <t>※ 游戏内宽高以 360 × 600 的画布为单位；出图按 3 倍像素（见最后一列），游戏会缩放到这里填的尺寸。</t>
        </is>
      </c>
    </row>
    <row r="67">
      <c r="A67" s="10" t="inlineStr">
        <is>
          <t>※ 锚点是图片里对齐游戏坐标的那一点：0,0 = 左上角，0.5,1 = 底边中点（跑者、装置用脚底中点）。</t>
        </is>
      </c>
    </row>
    <row r="68">
      <c r="A68" s="10" t="inlineStr">
        <is>
          <t>※ 帧数 &gt; 1 时，图片是横向排开的序列帧（每帧等宽），按帧率循环播放。跑者、Boss 统一画成「侧面向右跑」，向左时游戏自动水平翻转。</t>
        </is>
      </c>
    </row>
    <row r="69">
      <c r="A69" s="10" t="inlineStr">
        <is>
          <t>※ 装置进化图（tower.xxx.p1–p3）在该路线升到 3 级以上并成为主路线时替换基础图；没给就继续用基础图。</t>
        </is>
      </c>
    </row>
    <row r="70">
      <c r="A70" s="10" t="inlineStr">
        <is>
          <t>※ 优先级：P1 样板关（先画这些就能完整玩一张图）→ P2 → P3。</t>
        </is>
      </c>
    </row>
  </sheetData>
  <dataValidations count="1">
    <dataValidation sqref="L3:L63" showDropDown="0" showInputMessage="0" showErrorMessage="0" allowBlank="0" type="list">
      <formula1>"0,1"</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28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4" customWidth="1" min="1" max="1"/>
    <col width="44" customWidth="1" min="2" max="2"/>
    <col width="50" customWidth="1" min="3" max="3"/>
    <col width="54" customWidth="1" min="4" max="4"/>
  </cols>
  <sheetData>
    <row r="1" ht="30" customHeight="1">
      <c r="A1" s="4" t="inlineStr">
        <is>
          <t>原文（id，勿改）</t>
        </is>
      </c>
      <c r="B1" s="4" t="inlineStr">
        <is>
          <t>中文</t>
        </is>
      </c>
      <c r="C1" s="4" t="inlineStr">
        <is>
          <t>English</t>
        </is>
      </c>
      <c r="D1" s="4" t="inlineStr">
        <is>
          <t>Français</t>
        </is>
      </c>
    </row>
    <row r="2">
      <c r="A2" s="5" t="inlineStr">
        <is>
          <t>key</t>
        </is>
      </c>
      <c r="B2" s="5" t="inlineStr">
        <is>
          <t>zh</t>
        </is>
      </c>
      <c r="C2" s="5" t="inlineStr">
        <is>
          <t>en</t>
        </is>
      </c>
      <c r="D2" s="5" t="inlineStr">
        <is>
          <t>fr</t>
        </is>
      </c>
    </row>
    <row r="3">
      <c r="A3" s="6" t="inlineStr">
        <is>
          <t>+30%（满天赋）</t>
        </is>
      </c>
      <c r="B3" s="8" t="inlineStr">
        <is>
          <t>+30%（满天赋）</t>
        </is>
      </c>
      <c r="C3" s="8" t="inlineStr">
        <is>
          <t>+30% (max talents)</t>
        </is>
      </c>
      <c r="D3" s="8" t="inlineStr">
        <is>
          <t>+30 % (talents au max)</t>
        </is>
      </c>
    </row>
    <row r="4">
      <c r="A4" s="6" t="inlineStr">
        <is>
          <t>0%（新玩家）</t>
        </is>
      </c>
      <c r="B4" s="8" t="inlineStr">
        <is>
          <t>0%（新玩家）</t>
        </is>
      </c>
      <c r="C4" s="8" t="inlineStr">
        <is>
          <t>0% (new player)</t>
        </is>
      </c>
      <c r="D4" s="8" t="inlineStr">
        <is>
          <t>0 % (nouveau joueur)</t>
        </is>
      </c>
    </row>
    <row r="5">
      <c r="A5" s="6" t="inlineStr">
        <is>
          <t>1× 速度</t>
        </is>
      </c>
      <c r="B5" s="8" t="inlineStr">
        <is>
          <t>1× 速度</t>
        </is>
      </c>
      <c r="C5" s="8" t="inlineStr">
        <is>
          <t>1× speed</t>
        </is>
      </c>
      <c r="D5" s="8" t="inlineStr">
        <is>
          <t>Vitesse 1×</t>
        </is>
      </c>
    </row>
    <row r="6">
      <c r="A6" s="6" t="inlineStr">
        <is>
          <t>2× 速度</t>
        </is>
      </c>
      <c r="B6" s="8" t="inlineStr">
        <is>
          <t>2× 速度</t>
        </is>
      </c>
      <c r="C6" s="8" t="inlineStr">
        <is>
          <t>2× speed</t>
        </is>
      </c>
      <c r="D6" s="8" t="inlineStr">
        <is>
          <t>Vitesse 2×</t>
        </is>
      </c>
    </row>
    <row r="7">
      <c r="A7" s="6" t="inlineStr">
        <is>
          <t>3 个 Boss 波每局从 6 位传奇跑者里随机抽：Nox（九命复活）、Aurum（召唤金甲跑者）、Slimo（黏液加速）、Rocco（铁头冲刺）、Chuckles（大笑让装置停工）、Datto（对常用装置产生抗性）。</t>
        </is>
      </c>
      <c r="B7" s="8" t="inlineStr">
        <is>
          <t>3 个 Boss 波每局从 6 位传奇跑者里随机抽：Nox（九命复活）、Aurum（召唤金甲跑者）、Slimo（黏液加速）、Rocco（铁头冲刺）、Chuckles（大笑让装置停工）、Datto（对常用装置产生抗性）。</t>
        </is>
      </c>
      <c r="C7" s="8" t="inlineStr">
        <is>
          <t>Each run draws 3 bosses from 6 legendary runners: Nox (nine lives), Aurum (summons golden runners), Slimo (slime boost), Rocco (headstrong dash), Chuckles (laughter jams devices), Datto (adapts to your most-used device).</t>
        </is>
      </c>
      <c r="D7" s="8" t="inlineStr">
        <is>
          <t>Chaque partie tire 3 boss parmi 6 coureurs légendaires : Nox (neuf vies), Aurum (invoque des coureurs dorés), Slimo (bave accélérante), Rocco (charge tête baissée), Chuckles (son rire bloque les dispositifs), Datto (s’adapte à ton dispositif favori).</t>
        </is>
      </c>
    </row>
    <row r="8">
      <c r="A8" s="6" t="inlineStr">
        <is>
          <t>6 种装置：易拉罐投手（单体）、香蕉皮投手（范围滑倒）、洒水器（减速、冻结）、鞋盒无人机（全图空投）、广场舞音响（神曲连锁传播）、宝石发射器（红黄蓝三种宝石）。每种 3 条路线、每条 5 级；主路线可升满，次路线最多 2 级。</t>
        </is>
      </c>
      <c r="B8" s="8" t="inlineStr">
        <is>
          <t>6 种装置：易拉罐投手（单体）、香蕉皮投手（范围滑倒）、洒水器（减速、冻结）、鞋盒无人机（全图空投）、广场舞音响（神曲连锁传播）、宝石发射器（红黄蓝三种宝石）。每种 3 条路线、每条 5 级；主路线可升满，次路线最多 2 级。</t>
        </is>
      </c>
      <c r="C8" s="8" t="inlineStr">
        <is>
          <t>6 devices: Can Thrower (single target), Banana Peeler (area slip), Sprinkler (slow, freeze), Shoebox Drone (map-wide drop), Dance Speaker (chain earworm), Gem Launcher (ruby, topaz, sapphire). Each has 3 paths of 5 tiers; the main path can max out, the secondary stops at tier 2.</t>
        </is>
      </c>
      <c r="D8" s="8" t="inlineStr">
        <is>
          <t>6 dispositifs : Lanceur de canettes (cible unique), Lanceur de peaux de banane (glissade de zone), Arroseur (ralentit, gèle), Drone à boîtes (largage sur toute la carte), Enceinte de danse (tube viral en chaîne), Lance-gemmes (rubis, topaze, saphir). Chacun a 3 voies de 5 niveaux ; la voie principale peut être maximisée, la secondaire s’arrête au niveau 2.</t>
        </is>
      </c>
    </row>
    <row r="9">
      <c r="A9" s="6" t="inlineStr">
        <is>
          <t>Boss 波</t>
        </is>
      </c>
      <c r="B9" s="8" t="inlineStr">
        <is>
          <t>Boss 波</t>
        </is>
      </c>
      <c r="C9" s="8" t="inlineStr">
        <is>
          <t>Boss wave</t>
        </is>
      </c>
      <c r="D9" s="8" t="inlineStr">
        <is>
          <t>Vague de boss</t>
        </is>
      </c>
    </row>
    <row r="10">
      <c r="A10" s="6" t="inlineStr">
        <is>
          <t>Boss：{n}（{t}）</t>
        </is>
      </c>
      <c r="B10" s="8" t="inlineStr">
        <is>
          <t>Boss：{n}（{t}）</t>
        </is>
      </c>
      <c r="C10" s="8" t="inlineStr">
        <is>
          <t>Boss: {n} ({t})</t>
        </is>
      </c>
      <c r="D10" s="8" t="inlineStr">
        <is>
          <t>Boss : {n} ({t})</t>
        </is>
      </c>
    </row>
    <row r="11">
      <c r="A11" s="6" t="inlineStr">
        <is>
          <t>Nox 九命</t>
        </is>
      </c>
      <c r="B11" s="8" t="inlineStr">
        <is>
          <t>Nox 九命</t>
        </is>
      </c>
      <c r="C11" s="8" t="inlineStr">
        <is>
          <t>Nox: Nine Lives</t>
        </is>
      </c>
      <c r="D11" s="8" t="inlineStr">
        <is>
          <t>Nox : neuf vies</t>
        </is>
      </c>
    </row>
    <row r="12">
      <c r="A12" s="6" t="inlineStr">
        <is>
          <t>{n} 名跑者</t>
        </is>
      </c>
      <c r="B12" s="8" t="inlineStr">
        <is>
          <t>{n} 名跑者</t>
        </is>
      </c>
      <c r="C12" s="8" t="inlineStr">
        <is>
          <t>{n} runners</t>
        </is>
      </c>
      <c r="D12" s="8" t="inlineStr">
        <is>
          <t>{n} coureurs</t>
        </is>
      </c>
    </row>
    <row r="13">
      <c r="A13" s="6" t="inlineStr">
        <is>
          <t>{n} 张</t>
        </is>
      </c>
      <c r="B13" s="8" t="inlineStr">
        <is>
          <t>{n} 张</t>
        </is>
      </c>
      <c r="C13" s="8" t="inlineStr">
        <is>
          <t>{n} cards</t>
        </is>
      </c>
      <c r="D13" s="8" t="inlineStr">
        <is>
          <t>{n} cartes</t>
        </is>
      </c>
    </row>
    <row r="14">
      <c r="A14" s="6" t="inlineStr">
        <is>
          <t>{n} 级 · {x}</t>
        </is>
      </c>
      <c r="B14" s="8" t="inlineStr">
        <is>
          <t>{n} 级 · {x}</t>
        </is>
      </c>
      <c r="C14" s="8" t="inlineStr">
        <is>
          <t>Tier {n} · {x}</t>
        </is>
      </c>
      <c r="D14" s="8" t="inlineStr">
        <is>
          <t>Niv. {n} · {x}</t>
        </is>
      </c>
    </row>
    <row r="15">
      <c r="A15" s="6" t="inlineStr">
        <is>
          <t>{x} {n} 秒后开始</t>
        </is>
      </c>
      <c r="B15" s="8" t="inlineStr">
        <is>
          <t>{x} {n} 秒后开始</t>
        </is>
      </c>
      <c r="C15" s="8" t="inlineStr">
        <is>
          <t>{x} starts in {n} s</t>
        </is>
      </c>
      <c r="D15" s="8" t="inlineStr">
        <is>
          <t>{x} dans {n} s</t>
        </is>
      </c>
    </row>
    <row r="16">
      <c r="A16" s="6" t="inlineStr">
        <is>
          <t>{x} 退赛！</t>
        </is>
      </c>
      <c r="B16" s="8" t="inlineStr">
        <is>
          <t>{x} 退赛！</t>
        </is>
      </c>
      <c r="C16" s="8" t="inlineStr">
        <is>
          <t>{x} quits!</t>
        </is>
      </c>
      <c r="D16" s="8" t="inlineStr">
        <is>
          <t>{x} abandonne !</t>
        </is>
      </c>
    </row>
    <row r="17">
      <c r="A17" s="6" t="inlineStr">
        <is>
          <t>{x}徽章</t>
        </is>
      </c>
      <c r="B17" s="8" t="inlineStr">
        <is>
          <t>{x}徽章</t>
        </is>
      </c>
      <c r="C17" s="8" t="inlineStr">
        <is>
          <t>{x} Badge</t>
        </is>
      </c>
      <c r="D17" s="8" t="inlineStr">
        <is>
          <t>Badge {x}</t>
        </is>
      </c>
    </row>
    <row r="18">
      <c r="A18" s="6" t="inlineStr">
        <is>
          <t>{x}效果 +25%，升级费用 −20%</t>
        </is>
      </c>
      <c r="B18" s="8" t="inlineStr">
        <is>
          <t>{x}效果 +25%，升级费用 −20%</t>
        </is>
      </c>
      <c r="C18" s="8" t="inlineStr">
        <is>
          <t>{x}: effect +25%, upgrades −20%</t>
        </is>
      </c>
      <c r="D18" s="8" t="inlineStr">
        <is>
          <t>{x} : effet +25 %, améliorations −20 %</t>
        </is>
      </c>
    </row>
    <row r="19">
      <c r="A19" s="6" t="inlineStr">
        <is>
          <t>下一波</t>
        </is>
      </c>
      <c r="B19" s="8" t="inlineStr">
        <is>
          <t>下一波</t>
        </is>
      </c>
      <c r="C19" s="8" t="inlineStr">
        <is>
          <t>Next wave</t>
        </is>
      </c>
      <c r="D19" s="8" t="inlineStr">
        <is>
          <t>Vague suivante</t>
        </is>
      </c>
    </row>
    <row r="20">
      <c r="A20" s="6" t="inlineStr">
        <is>
          <t>下一波 Boss：{x}。</t>
        </is>
      </c>
      <c r="B20" s="8" t="inlineStr">
        <is>
          <t>下一波 Boss：{x}。</t>
        </is>
      </c>
      <c r="C20" s="8" t="inlineStr">
        <is>
          <t>Next wave boss: {x}.</t>
        </is>
      </c>
      <c r="D20" s="8" t="inlineStr">
        <is>
          <t>Boss de la prochaine vague : {x}.</t>
        </is>
      </c>
    </row>
    <row r="21">
      <c r="A21" s="6" t="inlineStr">
        <is>
          <t>主路线</t>
        </is>
      </c>
      <c r="B21" s="8" t="inlineStr">
        <is>
          <t>主路线</t>
        </is>
      </c>
      <c r="C21" s="8" t="inlineStr">
        <is>
          <t>Main</t>
        </is>
      </c>
      <c r="D21" s="8" t="inlineStr">
        <is>
          <t>Principale</t>
        </is>
      </c>
    </row>
    <row r="22">
      <c r="A22" s="6" t="inlineStr">
        <is>
          <t>交易</t>
        </is>
      </c>
      <c r="B22" s="8" t="inlineStr">
        <is>
          <t>交易</t>
        </is>
      </c>
      <c r="C22" s="8" t="inlineStr">
        <is>
          <t>Deal</t>
        </is>
      </c>
      <c r="D22" s="8" t="inlineStr">
        <is>
          <t>Pacte</t>
        </is>
      </c>
    </row>
    <row r="23">
      <c r="A23" s="6" t="inlineStr">
        <is>
          <t>今天已跑 ≥ 2 km（热身 +10% 效果）</t>
        </is>
      </c>
      <c r="B23" s="8" t="inlineStr">
        <is>
          <t>今天已跑 ≥ 2 km（热身 +10% 效果）</t>
        </is>
      </c>
      <c r="C23" s="8" t="inlineStr">
        <is>
          <t>Ran ≥ 2 km today (warm-up +10% effect)</t>
        </is>
      </c>
      <c r="D23" s="8" t="inlineStr">
        <is>
          <t>Couru ≥ 2 km aujourd’hui (échauffement +10 % d’effet)</t>
        </is>
      </c>
    </row>
    <row r="24">
      <c r="A24" s="6" t="inlineStr">
        <is>
          <t>传播</t>
        </is>
      </c>
      <c r="B24" s="8" t="inlineStr">
        <is>
          <t>传播</t>
        </is>
      </c>
      <c r="C24" s="8" t="inlineStr">
        <is>
          <t>Chain</t>
        </is>
      </c>
      <c r="D24" s="8" t="inlineStr">
        <is>
          <t>Chaîne</t>
        </is>
      </c>
    </row>
    <row r="25">
      <c r="A25" s="6" t="inlineStr">
        <is>
          <t>传说</t>
        </is>
      </c>
      <c r="B25" s="8" t="inlineStr">
        <is>
          <t>传说</t>
        </is>
      </c>
      <c r="C25" s="8" t="inlineStr">
        <is>
          <t>Legendary</t>
        </is>
      </c>
      <c r="D25" s="8" t="inlineStr">
        <is>
          <t>Légendaire</t>
        </is>
      </c>
    </row>
    <row r="26">
      <c r="A26" s="6" t="inlineStr">
        <is>
          <t>体力 +40%</t>
        </is>
      </c>
      <c r="B26" s="8" t="inlineStr">
        <is>
          <t>体力 +40%</t>
        </is>
      </c>
      <c r="C26" s="8" t="inlineStr">
        <is>
          <t>Stamina +40%</t>
        </is>
      </c>
      <c r="D26" s="8" t="inlineStr">
        <is>
          <t>Endurance +40 %</t>
        </is>
      </c>
    </row>
    <row r="27">
      <c r="A27" s="6" t="inlineStr">
        <is>
          <t>先在虚线圆圈里放置装置，再点「开始第 1 波」</t>
        </is>
      </c>
      <c r="B27" s="8" t="inlineStr">
        <is>
          <t>先在虚线圆圈里放置装置，再点「开始第 1 波」</t>
        </is>
      </c>
      <c r="C27" s="8" t="inlineStr">
        <is>
          <t>Place devices in the dashed circles, then press “Start wave 1”</t>
        </is>
      </c>
      <c r="D27" s="8" t="inlineStr">
        <is>
          <t>Place des dispositifs dans les cercles, puis « Lancer la vague 1 »</t>
        </is>
      </c>
    </row>
    <row r="28">
      <c r="A28" s="6" t="inlineStr">
        <is>
          <t>全图</t>
        </is>
      </c>
      <c r="B28" s="8" t="inlineStr">
        <is>
          <t>全图</t>
        </is>
      </c>
      <c r="C28" s="8" t="inlineStr">
        <is>
          <t>Global</t>
        </is>
      </c>
      <c r="D28" s="8" t="inlineStr">
        <is>
          <t>Carte</t>
        </is>
      </c>
    </row>
    <row r="29">
      <c r="A29" s="6" t="inlineStr">
        <is>
          <t>全场冻结 2 秒</t>
        </is>
      </c>
      <c r="B29" s="8" t="inlineStr">
        <is>
          <t>全场冻结 2 秒</t>
        </is>
      </c>
      <c r="C29" s="8" t="inlineStr">
        <is>
          <t>Whole track frozen for 2 s</t>
        </is>
      </c>
      <c r="D29" s="8" t="inlineStr">
        <is>
          <t>Toute la piste gelée 2 s</t>
        </is>
      </c>
    </row>
    <row r="30">
      <c r="A30" s="6" t="inlineStr">
        <is>
          <t>再来一局</t>
        </is>
      </c>
      <c r="B30" s="8" t="inlineStr">
        <is>
          <t>再来一局</t>
        </is>
      </c>
      <c r="C30" s="8" t="inlineStr">
        <is>
          <t>Play again</t>
        </is>
      </c>
      <c r="D30" s="8" t="inlineStr">
        <is>
          <t>Rejouer</t>
        </is>
      </c>
    </row>
    <row r="31">
      <c r="A31" s="6" t="inlineStr">
        <is>
          <t>冰河时代</t>
        </is>
      </c>
      <c r="B31" s="8" t="inlineStr">
        <is>
          <t>冰河时代</t>
        </is>
      </c>
      <c r="C31" s="8" t="inlineStr">
        <is>
          <t>Ice Age</t>
        </is>
      </c>
      <c r="D31" s="8" t="inlineStr">
        <is>
          <t>Ère glaciaire</t>
        </is>
      </c>
    </row>
    <row r="32">
      <c r="A32" s="6" t="inlineStr">
        <is>
          <t>冲线！</t>
        </is>
      </c>
      <c r="B32" s="8" t="inlineStr">
        <is>
          <t>冲线！</t>
        </is>
      </c>
      <c r="C32" s="8" t="inlineStr">
        <is>
          <t>Crossed!</t>
        </is>
      </c>
      <c r="D32" s="8" t="inlineStr">
        <is>
          <t>Arrivé !</t>
        </is>
      </c>
    </row>
    <row r="33">
      <c r="A33" s="6" t="inlineStr">
        <is>
          <t>减速</t>
        </is>
      </c>
      <c r="B33" s="8" t="inlineStr">
        <is>
          <t>减速</t>
        </is>
      </c>
      <c r="C33" s="8" t="inlineStr">
        <is>
          <t>Slow</t>
        </is>
      </c>
      <c r="D33" s="8" t="inlineStr">
        <is>
          <t>Ralenti</t>
        </is>
      </c>
    </row>
    <row r="34">
      <c r="A34" s="6" t="inlineStr">
        <is>
          <t>出手速度 ×1.6，持续 5 秒</t>
        </is>
      </c>
      <c r="B34" s="8" t="inlineStr">
        <is>
          <t>出手速度 ×1.6，持续 5 秒</t>
        </is>
      </c>
      <c r="C34" s="8" t="inlineStr">
        <is>
          <t>Device speed ×1.6 for 5 s</t>
        </is>
      </c>
      <c r="D34" s="8" t="inlineStr">
        <is>
          <t>Vitesse des dispositifs ×1,6 pendant 5 s</t>
        </is>
      </c>
    </row>
    <row r="35">
      <c r="A35" s="6" t="inlineStr">
        <is>
          <t>出手速度 ×2，持续 10 秒</t>
        </is>
      </c>
      <c r="B35" s="8" t="inlineStr">
        <is>
          <t>出手速度 ×2，持续 10 秒</t>
        </is>
      </c>
      <c r="C35" s="8" t="inlineStr">
        <is>
          <t>Device speed ×2 for 10 s</t>
        </is>
      </c>
      <c r="D35" s="8" t="inlineStr">
        <is>
          <t>Vitesse des dispositifs ×2 pendant 10 s</t>
        </is>
      </c>
    </row>
    <row r="36">
      <c r="A36" s="6" t="inlineStr">
        <is>
          <t>分数</t>
        </is>
      </c>
      <c r="B36" s="8" t="inlineStr">
        <is>
          <t>分数</t>
        </is>
      </c>
      <c r="C36" s="8" t="inlineStr">
        <is>
          <t>Score</t>
        </is>
      </c>
      <c r="D36" s="8" t="inlineStr">
        <is>
          <t>Score</t>
        </is>
      </c>
    </row>
    <row r="37">
      <c r="A37" s="6" t="inlineStr">
        <is>
          <t>剩余生命 / 20 × 300</t>
        </is>
      </c>
      <c r="B37" s="8" t="inlineStr">
        <is>
          <t>剩余生命 / 20 × 300</t>
        </is>
      </c>
      <c r="C37" s="8" t="inlineStr">
        <is>
          <t>Lives left / 20 × 300</t>
        </is>
      </c>
      <c r="D37" s="8" t="inlineStr">
        <is>
          <t>Vies restantes / 20 × 300</t>
        </is>
      </c>
    </row>
    <row r="38">
      <c r="A38" s="6" t="inlineStr">
        <is>
          <t>劝退 GST +{n}%</t>
        </is>
      </c>
      <c r="B38" s="8" t="inlineStr">
        <is>
          <t>劝退 GST +{n}%</t>
        </is>
      </c>
      <c r="C38" s="8" t="inlineStr">
        <is>
          <t>GST per runner +{n}%</t>
        </is>
      </c>
      <c r="D38" s="8" t="inlineStr">
        <is>
          <t>GST par coureur +{n} %</t>
        </is>
      </c>
    </row>
    <row r="39">
      <c r="A39" s="6" t="inlineStr">
        <is>
          <t>劝退率 × 600</t>
        </is>
      </c>
      <c r="B39" s="8" t="inlineStr">
        <is>
          <t>劝退率 × 600</t>
        </is>
      </c>
      <c r="C39" s="8" t="inlineStr">
        <is>
          <t>Stop rate × 600</t>
        </is>
      </c>
      <c r="D39" s="8" t="inlineStr">
        <is>
          <t>Taux d’arrêt × 600</t>
        </is>
      </c>
    </row>
    <row r="40">
      <c r="A40" s="6" t="inlineStr">
        <is>
          <t>升级半价 ×{n}</t>
        </is>
      </c>
      <c r="B40" s="8" t="inlineStr">
        <is>
          <t>升级半价 ×{n}</t>
        </is>
      </c>
      <c r="C40" s="8" t="inlineStr">
        <is>
          <t>Half-price upgrades ×{n}</t>
        </is>
      </c>
      <c r="D40" s="8" t="inlineStr">
        <is>
          <t>Améliorations à moitié prix ×{n}</t>
        </is>
      </c>
    </row>
    <row r="41">
      <c r="A41" s="6" t="inlineStr">
        <is>
          <t>原地复活！</t>
        </is>
      </c>
      <c r="B41" s="8" t="inlineStr">
        <is>
          <t>原地复活！</t>
        </is>
      </c>
      <c r="C41" s="8" t="inlineStr">
        <is>
          <t>Back on her feet!</t>
        </is>
      </c>
      <c r="D41" s="8" t="inlineStr">
        <is>
          <t>Elle se relève !</t>
        </is>
      </c>
    </row>
    <row r="42">
      <c r="A42" s="6" t="inlineStr">
        <is>
          <t>哈</t>
        </is>
      </c>
      <c r="B42" s="8" t="inlineStr">
        <is>
          <t>哈</t>
        </is>
      </c>
      <c r="C42" s="8" t="inlineStr">
        <is>
          <t>Ha</t>
        </is>
      </c>
      <c r="D42" s="8" t="inlineStr">
        <is>
          <t>Ha</t>
        </is>
      </c>
    </row>
    <row r="43">
      <c r="A43" s="6" t="inlineStr">
        <is>
          <t>哈哈哈！</t>
        </is>
      </c>
      <c r="B43" s="8" t="inlineStr">
        <is>
          <t>哈哈哈！</t>
        </is>
      </c>
      <c r="C43" s="8" t="inlineStr">
        <is>
          <t>HAHAHA!</t>
        </is>
      </c>
      <c r="D43" s="8" t="inlineStr">
        <is>
          <t>HAHAHA !</t>
        </is>
      </c>
    </row>
    <row r="44">
      <c r="A44" s="6" t="inlineStr">
        <is>
          <t>回收 · +{n} GST</t>
        </is>
      </c>
      <c r="B44" s="8" t="inlineStr">
        <is>
          <t>回收 · +{n} GST</t>
        </is>
      </c>
      <c r="C44" s="8" t="inlineStr">
        <is>
          <t>Recycle · +{n} GST</t>
        </is>
      </c>
      <c r="D44" s="8" t="inlineStr">
        <is>
          <t>Recycler · +{n} GST</t>
        </is>
      </c>
    </row>
    <row r="45">
      <c r="A45" s="6" t="inlineStr">
        <is>
          <t>天赋加成</t>
        </is>
      </c>
      <c r="B45" s="8" t="inlineStr">
        <is>
          <t>天赋加成</t>
        </is>
      </c>
      <c r="C45" s="8" t="inlineStr">
        <is>
          <t>Talent bonus</t>
        </is>
      </c>
      <c r="D45" s="8" t="inlineStr">
        <is>
          <t>Bonus de talents</t>
        </is>
      </c>
    </row>
    <row r="46">
      <c r="A46" s="6" t="inlineStr">
        <is>
          <t>奖励：30 GST</t>
        </is>
      </c>
      <c r="B46" s="8" t="inlineStr">
        <is>
          <t>奖励：30 GST</t>
        </is>
      </c>
      <c r="C46" s="8" t="inlineStr">
        <is>
          <t>Reward: 30 GST</t>
        </is>
      </c>
      <c r="D46" s="8" t="inlineStr">
        <is>
          <t>Récompense : 30 GST</t>
        </is>
      </c>
    </row>
    <row r="47">
      <c r="A47" s="6" t="inlineStr">
        <is>
          <t>奖励：60 GST + 稀有以上</t>
        </is>
      </c>
      <c r="B47" s="8" t="inlineStr">
        <is>
          <t>奖励：60 GST + 稀有以上</t>
        </is>
      </c>
      <c r="C47" s="8" t="inlineStr">
        <is>
          <t>Reward: 60 GST + rare or better</t>
        </is>
      </c>
      <c r="D47" s="8" t="inlineStr">
        <is>
          <t>Récompense : 60 GST + rare ou mieux</t>
        </is>
      </c>
    </row>
    <row r="48">
      <c r="A48" s="6" t="inlineStr">
        <is>
          <t>对手体力 +{n}%</t>
        </is>
      </c>
      <c r="B48" s="8" t="inlineStr">
        <is>
          <t>对手体力 +{n}%</t>
        </is>
      </c>
      <c r="C48" s="8" t="inlineStr">
        <is>
          <t>Rival stamina +{n}%</t>
        </is>
      </c>
      <c r="D48" s="8" t="inlineStr">
        <is>
          <t>Endurance rivale +{n} %</t>
        </is>
      </c>
    </row>
    <row r="49">
      <c r="A49" s="6" t="inlineStr">
        <is>
          <t>对手公会的跑者要冲过你的领地。你用「装置」干扰他们，体力耗尽就摔倒退赛。漏过去的跑者会扣你的生命，生命归零即失守。</t>
        </is>
      </c>
      <c r="B49" s="8" t="inlineStr">
        <is>
          <t>对手公会的跑者要冲过你的领地。你用「装置」干扰他们，体力耗尽就摔倒退赛。漏过去的跑者会扣你的生命，生命归零即失守。</t>
        </is>
      </c>
      <c r="C49" s="8" t="inlineStr">
        <is>
          <t>Rival guild runners are racing through your territory. Use devices to throw them off; when their stamina runs out they trip and quit. Every runner who gets through costs you a life; at zero lives the territory falls.</t>
        </is>
      </c>
      <c r="D49" s="8" t="inlineStr">
        <is>
          <t>Les coureurs d’une guilde rivale traversent ton territoire. Utilise des dispositifs pour les gêner ; à court d’endurance, ils trébuchent et abandonnent. Chaque coureur qui passe te coûte une vie ; à zéro, le territoire tombe.</t>
        </is>
      </c>
    </row>
    <row r="50">
      <c r="A50" s="6" t="inlineStr">
        <is>
          <t>对手公会的跑者要冲过你的领地。现在只有易拉罐投手，第 3 波开始出现耐力跑者。</t>
        </is>
      </c>
      <c r="B50" s="8" t="inlineStr">
        <is>
          <t>对手公会的跑者要冲过你的领地。现在只有易拉罐投手，第 3 波开始出现耐力跑者。</t>
        </is>
      </c>
      <c r="C50" s="8" t="inlineStr">
        <is>
          <t>Rival guild runners are racing through your territory. You start with the Can Thrower; endurance runners appear from wave 3.</t>
        </is>
      </c>
      <c r="D50" s="8" t="inlineStr">
        <is>
          <t>Des coureurs rivaux traversent ton territoire. Tu commences avec le Lanceur de canettes ; les coureurs endurants arrivent à la vague 3.</t>
        </is>
      </c>
    </row>
    <row r="51">
      <c r="A51" s="6" t="inlineStr">
        <is>
          <t>对手移速 +{n}%</t>
        </is>
      </c>
      <c r="B51" s="8" t="inlineStr">
        <is>
          <t>对手移速 +{n}%</t>
        </is>
      </c>
      <c r="C51" s="8" t="inlineStr">
        <is>
          <t>Rival speed +{n}%</t>
        </is>
      </c>
      <c r="D51" s="8" t="inlineStr">
        <is>
          <t>Vitesse rivale +{n} %</t>
        </is>
      </c>
    </row>
    <row r="52">
      <c r="A52" s="6" t="inlineStr">
        <is>
          <t>对耐力跑者</t>
        </is>
      </c>
      <c r="B52" s="8" t="inlineStr">
        <is>
          <t>对耐力跑者</t>
        </is>
      </c>
      <c r="C52" s="8" t="inlineStr">
        <is>
          <t>vs endurance</t>
        </is>
      </c>
      <c r="D52" s="8" t="inlineStr">
        <is>
          <t>vs endurants</t>
        </is>
      </c>
    </row>
    <row r="53">
      <c r="A53" s="6" t="inlineStr">
        <is>
          <t>射程</t>
        </is>
      </c>
      <c r="B53" s="8" t="inlineStr">
        <is>
          <t>射程</t>
        </is>
      </c>
      <c r="C53" s="8" t="inlineStr">
        <is>
          <t>Range</t>
        </is>
      </c>
      <c r="D53" s="8" t="inlineStr">
        <is>
          <t>Portée</t>
        </is>
      </c>
    </row>
    <row r="54">
      <c r="A54" s="6" t="inlineStr">
        <is>
          <t>已在发展另外两条路线</t>
        </is>
      </c>
      <c r="B54" s="8" t="inlineStr">
        <is>
          <t>已在发展另外两条路线</t>
        </is>
      </c>
      <c r="C54" s="8" t="inlineStr">
        <is>
          <t>Already developing two other paths</t>
        </is>
      </c>
      <c r="D54" s="8" t="inlineStr">
        <is>
          <t>Deux autres voies déjà développées</t>
        </is>
      </c>
    </row>
    <row r="55">
      <c r="A55" s="6" t="inlineStr">
        <is>
          <t>已满级</t>
        </is>
      </c>
      <c r="B55" s="8" t="inlineStr">
        <is>
          <t>已满级</t>
        </is>
      </c>
      <c r="C55" s="8" t="inlineStr">
        <is>
          <t>Maxed</t>
        </is>
      </c>
      <c r="D55" s="8" t="inlineStr">
        <is>
          <t>Au max</t>
        </is>
      </c>
    </row>
    <row r="56">
      <c r="A56" s="6" t="inlineStr">
        <is>
          <t>已达上限</t>
        </is>
      </c>
      <c r="B56" s="8" t="inlineStr">
        <is>
          <t>已达上限</t>
        </is>
      </c>
      <c r="C56" s="8" t="inlineStr">
        <is>
          <t>At cap</t>
        </is>
      </c>
      <c r="D56" s="8" t="inlineStr">
        <is>
          <t>Plafond atteint</t>
        </is>
      </c>
    </row>
    <row r="57">
      <c r="A57" s="6" t="inlineStr">
        <is>
          <t>已适应：{x}</t>
        </is>
      </c>
      <c r="B57" s="8" t="inlineStr">
        <is>
          <t>已适应：{x}</t>
        </is>
      </c>
      <c r="C57" s="8" t="inlineStr">
        <is>
          <t>Adapted: {x}</t>
        </is>
      </c>
      <c r="D57" s="8" t="inlineStr">
        <is>
          <t>Adapté : {x}</t>
        </is>
      </c>
    </row>
    <row r="58">
      <c r="A58" s="6" t="inlineStr">
        <is>
          <t>开始第 1 波</t>
        </is>
      </c>
      <c r="B58" s="8" t="inlineStr">
        <is>
          <t>开始第 1 波</t>
        </is>
      </c>
      <c r="C58" s="8" t="inlineStr">
        <is>
          <t>Start wave 1</t>
        </is>
      </c>
      <c r="D58" s="8" t="inlineStr">
        <is>
          <t>Lancer la vague 1</t>
        </is>
      </c>
    </row>
    <row r="59">
      <c r="A59" s="6" t="inlineStr">
        <is>
          <t>开局：开启起手神秘箱</t>
        </is>
      </c>
      <c r="B59" s="8" t="inlineStr">
        <is>
          <t>开局：开启起手神秘箱</t>
        </is>
      </c>
      <c r="C59" s="8" t="inlineStr">
        <is>
          <t>Start: open your first Mystery Box</t>
        </is>
      </c>
      <c r="D59" s="8" t="inlineStr">
        <is>
          <t>Départ : ouvre ta première Mystery Box</t>
        </is>
      </c>
    </row>
    <row r="60">
      <c r="A60" s="6" t="inlineStr">
        <is>
          <t>开箱中</t>
        </is>
      </c>
      <c r="B60" s="8" t="inlineStr">
        <is>
          <t>开箱中</t>
        </is>
      </c>
      <c r="C60" s="8" t="inlineStr">
        <is>
          <t>Opening box</t>
        </is>
      </c>
      <c r="D60" s="8" t="inlineStr">
        <is>
          <t>Ouverture</t>
        </is>
      </c>
    </row>
    <row r="61">
      <c r="A61" s="6" t="inlineStr">
        <is>
          <t>当前全局效果：</t>
        </is>
      </c>
      <c r="B61" s="8" t="inlineStr">
        <is>
          <t>当前全局效果：</t>
        </is>
      </c>
      <c r="C61" s="8" t="inlineStr">
        <is>
          <t xml:space="preserve">Active effects: </t>
        </is>
      </c>
      <c r="D61" s="8" t="inlineStr">
        <is>
          <t xml:space="preserve">Effets actifs : </t>
        </is>
      </c>
    </row>
    <row r="62">
      <c r="A62" s="6" t="inlineStr">
        <is>
          <t>徽章</t>
        </is>
      </c>
      <c r="B62" s="8" t="inlineStr">
        <is>
          <t>徽章</t>
        </is>
      </c>
      <c r="C62" s="8" t="inlineStr">
        <is>
          <t>Badge</t>
        </is>
      </c>
      <c r="D62" s="8" t="inlineStr">
        <is>
          <t>Badge</t>
        </is>
      </c>
    </row>
    <row r="63">
      <c r="A63" s="6" t="inlineStr">
        <is>
          <t>提前开波 +{n} GST</t>
        </is>
      </c>
      <c r="B63" s="8" t="inlineStr">
        <is>
          <t>提前开波 +{n} GST</t>
        </is>
      </c>
      <c r="C63" s="8" t="inlineStr">
        <is>
          <t>Early start +{n} GST</t>
        </is>
      </c>
      <c r="D63" s="8" t="inlineStr">
        <is>
          <t>Départ anticipé +{n} GST</t>
        </is>
      </c>
    </row>
    <row r="64">
      <c r="A64" s="6" t="inlineStr">
        <is>
          <t>放置装置</t>
        </is>
      </c>
      <c r="B64" s="8" t="inlineStr">
        <is>
          <t>放置装置</t>
        </is>
      </c>
      <c r="C64" s="8" t="inlineStr">
        <is>
          <t>Place a device</t>
        </is>
      </c>
      <c r="D64" s="8" t="inlineStr">
        <is>
          <t>Placer un dispositif</t>
        </is>
      </c>
    </row>
    <row r="65">
      <c r="A65" s="6" t="inlineStr">
        <is>
          <t>放置费用 −{n}%</t>
        </is>
      </c>
      <c r="B65" s="8" t="inlineStr">
        <is>
          <t>放置费用 −{n}%</t>
        </is>
      </c>
      <c r="C65" s="8" t="inlineStr">
        <is>
          <t>Placement cost −{n}%</t>
        </is>
      </c>
      <c r="D65" s="8" t="inlineStr">
        <is>
          <t>Coût de placement −{n} %</t>
        </is>
      </c>
    </row>
    <row r="66">
      <c r="A66" s="6" t="inlineStr">
        <is>
          <t>效果</t>
        </is>
      </c>
      <c r="B66" s="8" t="inlineStr">
        <is>
          <t>效果</t>
        </is>
      </c>
      <c r="C66" s="8" t="inlineStr">
        <is>
          <t>Effect</t>
        </is>
      </c>
      <c r="D66" s="8" t="inlineStr">
        <is>
          <t>Effet</t>
        </is>
      </c>
    </row>
    <row r="67">
      <c r="A67" s="6" t="inlineStr">
        <is>
          <t>数值没有经过试玩平衡。</t>
        </is>
      </c>
      <c r="B67" s="8" t="inlineStr">
        <is>
          <t>数值没有经过试玩平衡。</t>
        </is>
      </c>
      <c r="C67" s="8" t="inlineStr">
        <is>
          <t>Numbers are not balanced by playtesting yet.</t>
        </is>
      </c>
      <c r="D67" s="8" t="inlineStr">
        <is>
          <t>Les valeurs ne sont pas encore équilibrées.</t>
        </is>
      </c>
    </row>
    <row r="68">
      <c r="A68" s="6" t="inlineStr">
        <is>
          <t>新纪录</t>
        </is>
      </c>
      <c r="B68" s="8" t="inlineStr">
        <is>
          <t>新纪录</t>
        </is>
      </c>
      <c r="C68" s="8" t="inlineStr">
        <is>
          <t>New record</t>
        </is>
      </c>
      <c r="D68" s="8" t="inlineStr">
        <is>
          <t>Nouveau record</t>
        </is>
      </c>
    </row>
    <row r="69">
      <c r="A69" s="6" t="inlineStr">
        <is>
          <t>无漏怪波数 / 15 × 100</t>
        </is>
      </c>
      <c r="B69" s="8" t="inlineStr">
        <is>
          <t>无漏怪波数 / 15 × 100</t>
        </is>
      </c>
      <c r="C69" s="8" t="inlineStr">
        <is>
          <t>Clean waves / 15 × 100</t>
        </is>
      </c>
      <c r="D69" s="8" t="inlineStr">
        <is>
          <t>Vagues sans fuite / 15 × 100</t>
        </is>
      </c>
    </row>
    <row r="70">
      <c r="A70" s="6" t="inlineStr">
        <is>
          <t>无词缀</t>
        </is>
      </c>
      <c r="B70" s="8" t="inlineStr">
        <is>
          <t>无词缀</t>
        </is>
      </c>
      <c r="C70" s="8" t="inlineStr">
        <is>
          <t>No traits</t>
        </is>
      </c>
      <c r="D70" s="8" t="inlineStr">
        <is>
          <t>Aucun trait</t>
        </is>
      </c>
    </row>
    <row r="71">
      <c r="A71" s="6" t="inlineStr">
        <is>
          <t>普通</t>
        </is>
      </c>
      <c r="B71" s="8" t="inlineStr">
        <is>
          <t>普通</t>
        </is>
      </c>
      <c r="C71" s="8" t="inlineStr">
        <is>
          <t>Common</t>
        </is>
      </c>
      <c r="D71" s="8" t="inlineStr">
        <is>
          <t>Commun</t>
        </is>
      </c>
    </row>
    <row r="72">
      <c r="A72" s="6" t="inlineStr">
        <is>
          <t>普通跑者</t>
        </is>
      </c>
      <c r="B72" s="8" t="inlineStr">
        <is>
          <t>普通跑者</t>
        </is>
      </c>
      <c r="C72" s="8" t="inlineStr">
        <is>
          <t>Regular runners</t>
        </is>
      </c>
      <c r="D72" s="8" t="inlineStr">
        <is>
          <t>Coureurs normaux</t>
        </is>
      </c>
    </row>
    <row r="73">
      <c r="A73" s="6" t="inlineStr">
        <is>
          <t>暴击率 +{n}%</t>
        </is>
      </c>
      <c r="B73" s="8" t="inlineStr">
        <is>
          <t>暴击率 +{n}%</t>
        </is>
      </c>
      <c r="C73" s="8" t="inlineStr">
        <is>
          <t>Crit chance +{n}%</t>
        </is>
      </c>
      <c r="D73" s="8" t="inlineStr">
        <is>
          <t>Chance de critique +{n} %</t>
        </is>
      </c>
    </row>
    <row r="74">
      <c r="A74" s="6" t="inlineStr">
        <is>
          <t>最高分 {n}</t>
        </is>
      </c>
      <c r="B74" s="8" t="inlineStr">
        <is>
          <t>最高分 {n}</t>
        </is>
      </c>
      <c r="C74" s="8" t="inlineStr">
        <is>
          <t>Best {n}</t>
        </is>
      </c>
      <c r="D74" s="8" t="inlineStr">
        <is>
          <t>Record {n}</t>
        </is>
      </c>
    </row>
    <row r="75">
      <c r="A75" s="6" t="inlineStr">
        <is>
          <t>本局构筑</t>
        </is>
      </c>
      <c r="B75" s="8" t="inlineStr">
        <is>
          <t>本局构筑</t>
        </is>
      </c>
      <c r="C75" s="8" t="inlineStr">
        <is>
          <t>This run</t>
        </is>
      </c>
      <c r="D75" s="8" t="inlineStr">
        <is>
          <t>Cette partie</t>
        </is>
      </c>
    </row>
    <row r="76">
      <c r="A76" s="6" t="inlineStr">
        <is>
          <t>次路线</t>
        </is>
      </c>
      <c r="B76" s="8" t="inlineStr">
        <is>
          <t>次路线</t>
        </is>
      </c>
      <c r="C76" s="8" t="inlineStr">
        <is>
          <t>Secondary</t>
        </is>
      </c>
      <c r="D76" s="8" t="inlineStr">
        <is>
          <t>Secondaire</t>
        </is>
      </c>
    </row>
    <row r="77">
      <c r="A77" s="6" t="inlineStr">
        <is>
          <t>次路线上限 3 级</t>
        </is>
      </c>
      <c r="B77" s="8" t="inlineStr">
        <is>
          <t>次路线上限 3 级</t>
        </is>
      </c>
      <c r="C77" s="8" t="inlineStr">
        <is>
          <t>Secondary cap 3</t>
        </is>
      </c>
      <c r="D77" s="8" t="inlineStr">
        <is>
          <t>Plafond secondaire 3</t>
        </is>
      </c>
    </row>
    <row r="78">
      <c r="A78" s="6" t="inlineStr">
        <is>
          <t>次路线最多 {n} 级</t>
        </is>
      </c>
      <c r="B78" s="8" t="inlineStr">
        <is>
          <t>次路线最多 {n} 级</t>
        </is>
      </c>
      <c r="C78" s="8" t="inlineStr">
        <is>
          <t>Secondary path max tier {n}</t>
        </is>
      </c>
      <c r="D78" s="8" t="inlineStr">
        <is>
          <t>Voie secondaire : niveau {n} max</t>
        </is>
      </c>
    </row>
    <row r="79">
      <c r="A79" s="6" t="inlineStr">
        <is>
          <t>每波结束开启神秘箱三选一：宝石、GST 红包、GMT 质押、MOOAR 折扣、Gas Hero 毒气、升级卷轴、创世鞋等。局内 GST 只是关卡内货币，不和任何真实资产挂钩。</t>
        </is>
      </c>
      <c r="B79" s="8" t="inlineStr">
        <is>
          <t>每波结束开启神秘箱三选一：宝石、GST 红包、GMT 质押、MOOAR 折扣、Gas Hero 毒气、升级卷轴、创世鞋等。局内 GST 只是关卡内货币，不和任何真实资产挂钩。</t>
        </is>
      </c>
      <c r="C79" s="8" t="inlineStr">
        <is>
          <t>After each wave, open a Mystery Box and pick 1 of 3: gems, GST Red Packets, GMT Staking, MOOAR Discount, Gas Hero Gas, Level-up Scrolls, Genesis Sneakers and more. In-run GST is a level-only currency and is not tied to any real asset.</t>
        </is>
      </c>
      <c r="D79" s="8" t="inlineStr">
        <is>
          <t>Après chaque vague, ouvre une Mystery Box et choisis 1 carte sur 3 : gemmes, Enveloppes GST, Staking GMT, Remise MOOAR, Gaz Gas Hero, Parchemins, Sneakers Genesis, etc. Le GST de la partie est une monnaie de niveau, sans lien avec un actif réel.</t>
        </is>
      </c>
    </row>
    <row r="80">
      <c r="A80" s="6" t="inlineStr">
        <is>
          <t>波次</t>
        </is>
      </c>
      <c r="B80" s="8" t="inlineStr">
        <is>
          <t>波次</t>
        </is>
      </c>
      <c r="C80" s="8" t="inlineStr">
        <is>
          <t>Wave</t>
        </is>
      </c>
      <c r="D80" s="8" t="inlineStr">
        <is>
          <t>Vague</t>
        </is>
      </c>
    </row>
    <row r="81">
      <c r="A81" s="6" t="inlineStr">
        <is>
          <t>点跑道旁的虚线圆圈放置装置，再点已放的装置选择升级路线。每个装置最多发展两条路线：主路线可升满 5 级，次路线最多 2 级。</t>
        </is>
      </c>
      <c r="B81" s="8" t="inlineStr">
        <is>
          <t>点跑道旁的虚线圆圈放置装置，再点已放的装置选择升级路线。每个装置最多发展两条路线：主路线可升满 5 级，次路线最多 2 级。</t>
        </is>
      </c>
      <c r="C81" s="8" t="inlineStr">
        <is>
          <t>Tap a dashed circle beside the track to place a device, then tap it to choose upgrade paths. Each device can develop two paths: the main one up to tier 5, the secondary up to tier 2.</t>
        </is>
      </c>
      <c r="D81" s="8" t="inlineStr">
        <is>
          <t>Touche un cercle en pointillé près de la piste pour placer un dispositif, puis touche-le pour choisir ses voies. Chaque dispositif peut développer deux voies : la principale jusqu’au niveau 5, la secondaire jusqu’au niveau 2.</t>
        </is>
      </c>
    </row>
    <row r="82">
      <c r="A82" s="6" t="inlineStr">
        <is>
          <t>燃脂模式需连续劝退 {n}</t>
        </is>
      </c>
      <c r="B82" s="8" t="inlineStr">
        <is>
          <t>燃脂模式需连续劝退 {n}</t>
        </is>
      </c>
      <c r="C82" s="8" t="inlineStr">
        <is>
          <t>Fat-burn at {n} streak</t>
        </is>
      </c>
      <c r="D82" s="8" t="inlineStr">
        <is>
          <t>Brûle-graisse à {n} d’affilée</t>
        </is>
      </c>
    </row>
    <row r="83">
      <c r="A83" s="6" t="inlineStr">
        <is>
          <t>燃脂模式！</t>
        </is>
      </c>
      <c r="B83" s="8" t="inlineStr">
        <is>
          <t>燃脂模式！</t>
        </is>
      </c>
      <c r="C83" s="8" t="inlineStr">
        <is>
          <t>Fat-burn mode!</t>
        </is>
      </c>
      <c r="D83" s="8" t="inlineStr">
        <is>
          <t>Mode brûle-graisse !</t>
        </is>
      </c>
    </row>
    <row r="84">
      <c r="A84" s="6" t="inlineStr">
        <is>
          <t>爆破</t>
        </is>
      </c>
      <c r="B84" s="8" t="inlineStr">
        <is>
          <t>爆破</t>
        </is>
      </c>
      <c r="C84" s="8" t="inlineStr">
        <is>
          <t xml:space="preserve">Blast </t>
        </is>
      </c>
      <c r="D84" s="8" t="inlineStr">
        <is>
          <t xml:space="preserve">Piste </t>
        </is>
      </c>
    </row>
    <row r="85">
      <c r="A85" s="6" t="inlineStr">
        <is>
          <t>爆破跑道</t>
        </is>
      </c>
      <c r="B85" s="8" t="inlineStr">
        <is>
          <t>爆破跑道</t>
        </is>
      </c>
      <c r="C85" s="8" t="inlineStr">
        <is>
          <t>Blast Track</t>
        </is>
      </c>
      <c r="D85" s="8" t="inlineStr">
        <is>
          <t>Piste Explosive</t>
        </is>
      </c>
    </row>
    <row r="86">
      <c r="A86" s="6" t="inlineStr">
        <is>
          <t>王之宝库</t>
        </is>
      </c>
      <c r="B86" s="8" t="inlineStr">
        <is>
          <t>王之宝库</t>
        </is>
      </c>
      <c r="C86" s="8" t="inlineStr">
        <is>
          <t>Royal Treasury</t>
        </is>
      </c>
      <c r="D86" s="8" t="inlineStr">
        <is>
          <t>Trésor royal</t>
        </is>
      </c>
    </row>
    <row r="87">
      <c r="A87" s="6" t="inlineStr">
        <is>
          <t>玩法说明</t>
        </is>
      </c>
      <c r="B87" s="8" t="inlineStr">
        <is>
          <t>玩法说明</t>
        </is>
      </c>
      <c r="C87" s="8" t="inlineStr">
        <is>
          <t>How to play</t>
        </is>
      </c>
      <c r="D87" s="8" t="inlineStr">
        <is>
          <t>Comment jouer</t>
        </is>
      </c>
    </row>
    <row r="88">
      <c r="A88" s="6" t="inlineStr">
        <is>
          <t>目标</t>
        </is>
      </c>
      <c r="B88" s="8" t="inlineStr">
        <is>
          <t>目标</t>
        </is>
      </c>
      <c r="C88" s="8" t="inlineStr">
        <is>
          <t>Targets</t>
        </is>
      </c>
      <c r="D88" s="8" t="inlineStr">
        <is>
          <t>Cibles</t>
        </is>
      </c>
    </row>
    <row r="89">
      <c r="A89" s="6" t="inlineStr">
        <is>
          <t>盾破</t>
        </is>
      </c>
      <c r="B89" s="8" t="inlineStr">
        <is>
          <t>盾破</t>
        </is>
      </c>
      <c r="C89" s="8" t="inlineStr">
        <is>
          <t>Shield down</t>
        </is>
      </c>
      <c r="D89" s="8" t="inlineStr">
        <is>
          <t>Bouclier brisé</t>
        </is>
      </c>
    </row>
    <row r="90">
      <c r="A90" s="6" t="inlineStr">
        <is>
          <t>稀有</t>
        </is>
      </c>
      <c r="B90" s="8" t="inlineStr">
        <is>
          <t>稀有</t>
        </is>
      </c>
      <c r="C90" s="8" t="inlineStr">
        <is>
          <t>Rare</t>
        </is>
      </c>
      <c r="D90" s="8" t="inlineStr">
        <is>
          <t>Rare</t>
        </is>
      </c>
    </row>
    <row r="91">
      <c r="A91" s="6" t="inlineStr">
        <is>
          <t>稳</t>
        </is>
      </c>
      <c r="B91" s="8" t="inlineStr">
        <is>
          <t>稳</t>
        </is>
      </c>
      <c r="C91" s="8" t="inlineStr">
        <is>
          <t>Resist</t>
        </is>
      </c>
      <c r="D91" s="8" t="inlineStr">
        <is>
          <t>Résiste</t>
        </is>
      </c>
    </row>
    <row r="92">
      <c r="A92" s="6" t="inlineStr">
        <is>
          <t>稳妥</t>
        </is>
      </c>
      <c r="B92" s="8" t="inlineStr">
        <is>
          <t>稳妥</t>
        </is>
      </c>
      <c r="C92" s="8" t="inlineStr">
        <is>
          <t>Safe</t>
        </is>
      </c>
      <c r="D92" s="8" t="inlineStr">
        <is>
          <t>Sûr</t>
        </is>
      </c>
    </row>
    <row r="93">
      <c r="A93" s="6" t="inlineStr">
        <is>
          <t>空位 · 选一个装置</t>
        </is>
      </c>
      <c r="B93" s="8" t="inlineStr">
        <is>
          <t>空位 · 选一个装置</t>
        </is>
      </c>
      <c r="C93" s="8" t="inlineStr">
        <is>
          <t>Empty spot · choose a device</t>
        </is>
      </c>
      <c r="D93" s="8" t="inlineStr">
        <is>
          <t>Emplacement libre · choisis un dispositif</t>
        </is>
      </c>
    </row>
    <row r="94">
      <c r="A94" s="6" t="inlineStr">
        <is>
          <t>立即开始第 {n} 波 · +{b} GST</t>
        </is>
      </c>
      <c r="B94" s="8" t="inlineStr">
        <is>
          <t>立即开始第 {n} 波 · +{b} GST</t>
        </is>
      </c>
      <c r="C94" s="8" t="inlineStr">
        <is>
          <t>Start wave {n} now · +{b} GST</t>
        </is>
      </c>
      <c r="D94" s="8" t="inlineStr">
        <is>
          <t>Lancer la vague {n} · +{b} GST</t>
        </is>
      </c>
    </row>
    <row r="95">
      <c r="A95" s="6" t="inlineStr">
        <is>
          <t>第 {n} 波</t>
        </is>
      </c>
      <c r="B95" s="8" t="inlineStr">
        <is>
          <t>第 {n} 波</t>
        </is>
      </c>
      <c r="C95" s="8" t="inlineStr">
        <is>
          <t>Wave {n}</t>
        </is>
      </c>
      <c r="D95" s="8" t="inlineStr">
        <is>
          <t>Vague {n}</t>
        </is>
      </c>
    </row>
    <row r="96">
      <c r="A96" s="6" t="inlineStr">
        <is>
          <t>第 {n} 波守住 · +{g} GST</t>
        </is>
      </c>
      <c r="B96" s="8" t="inlineStr">
        <is>
          <t>第 {n} 波守住 · +{g} GST</t>
        </is>
      </c>
      <c r="C96" s="8" t="inlineStr">
        <is>
          <t>Wave {n} held · +{g} GST</t>
        </is>
      </c>
      <c r="D96" s="8" t="inlineStr">
        <is>
          <t>Vague {n} tenue · +{g} GST</t>
        </is>
      </c>
    </row>
    <row r="97">
      <c r="A97" s="6" t="inlineStr">
        <is>
          <t>第 {n} 波进行中</t>
        </is>
      </c>
      <c r="B97" s="8" t="inlineStr">
        <is>
          <t>第 {n} 波进行中</t>
        </is>
      </c>
      <c r="C97" s="8" t="inlineStr">
        <is>
          <t>Wave {n} in progress</t>
        </is>
      </c>
      <c r="D97" s="8" t="inlineStr">
        <is>
          <t>Vague {n} en cours</t>
        </is>
      </c>
    </row>
    <row r="98">
      <c r="A98" s="6" t="inlineStr">
        <is>
          <t>第 {r} 局 · 最高分 {b}</t>
        </is>
      </c>
      <c r="B98" s="8" t="inlineStr">
        <is>
          <t>第 {r} 局 · 最高分 {b}</t>
        </is>
      </c>
      <c r="C98" s="8" t="inlineStr">
        <is>
          <t>Run {r} · best {b}</t>
        </is>
      </c>
      <c r="D98" s="8" t="inlineStr">
        <is>
          <t>Partie {r} · record {b}</t>
        </is>
      </c>
    </row>
    <row r="99">
      <c r="A99" s="6" t="inlineStr">
        <is>
          <t>第 {r} 局 · 精英波 {e} 次</t>
        </is>
      </c>
      <c r="B99" s="8" t="inlineStr">
        <is>
          <t>第 {r} 局 · 精英波 {e} 次</t>
        </is>
      </c>
      <c r="C99" s="8" t="inlineStr">
        <is>
          <t>Run {r} · {e} elite waves</t>
        </is>
      </c>
      <c r="D99" s="8" t="inlineStr">
        <is>
          <t>Partie {r} · {e} vagues d’élite</t>
        </is>
      </c>
    </row>
    <row r="100">
      <c r="A100" s="6" t="inlineStr">
        <is>
          <t>精英奖励：这次的神秘箱只出稀有和传说。</t>
        </is>
      </c>
      <c r="B100" s="8" t="inlineStr">
        <is>
          <t>精英奖励：这次的神秘箱只出稀有和传说。</t>
        </is>
      </c>
      <c r="C100" s="8" t="inlineStr">
        <is>
          <t>Elite reward: this Mystery Box only holds rare and legendary cards.</t>
        </is>
      </c>
      <c r="D100" s="8" t="inlineStr">
        <is>
          <t>Bonus d’élite : cette Mystery Box ne contient que du rare et du légendaire.</t>
        </is>
      </c>
    </row>
    <row r="101">
      <c r="A101" s="6" t="inlineStr">
        <is>
          <t>精英小队</t>
        </is>
      </c>
      <c r="B101" s="8" t="inlineStr">
        <is>
          <t>精英小队</t>
        </is>
      </c>
      <c r="C101" s="8" t="inlineStr">
        <is>
          <t>Elite squad</t>
        </is>
      </c>
      <c r="D101" s="8" t="inlineStr">
        <is>
          <t>Escouade d’élite</t>
        </is>
      </c>
    </row>
    <row r="102">
      <c r="A102" s="6" t="inlineStr">
        <is>
          <t>精英波</t>
        </is>
      </c>
      <c r="B102" s="8" t="inlineStr">
        <is>
          <t>精英波</t>
        </is>
      </c>
      <c r="C102" s="8" t="inlineStr">
        <is>
          <t>Elite wave</t>
        </is>
      </c>
      <c r="D102" s="8" t="inlineStr">
        <is>
          <t>Vague d’élite</t>
        </is>
      </c>
    </row>
    <row r="103">
      <c r="A103" s="6" t="inlineStr">
        <is>
          <t>终点</t>
        </is>
      </c>
      <c r="B103" s="8" t="inlineStr">
        <is>
          <t>终点</t>
        </is>
      </c>
      <c r="C103" s="8" t="inlineStr">
        <is>
          <t>Finish</t>
        </is>
      </c>
      <c r="D103" s="8" t="inlineStr">
        <is>
          <t>Arrivée</t>
        </is>
      </c>
    </row>
    <row r="104">
      <c r="A104" s="6" t="inlineStr">
        <is>
          <t>绊倒退赛</t>
        </is>
      </c>
      <c r="B104" s="8" t="inlineStr">
        <is>
          <t>绊倒退赛</t>
        </is>
      </c>
      <c r="C104" s="8" t="inlineStr">
        <is>
          <t>Tripped out</t>
        </is>
      </c>
      <c r="D104" s="8" t="inlineStr">
        <is>
          <t>Trébuche et abandonne</t>
        </is>
      </c>
    </row>
    <row r="105">
      <c r="A105" s="6" t="inlineStr">
        <is>
          <t>生命</t>
        </is>
      </c>
      <c r="B105" s="8" t="inlineStr">
        <is>
          <t>生命</t>
        </is>
      </c>
      <c r="C105" s="8" t="inlineStr">
        <is>
          <t>Lives</t>
        </is>
      </c>
      <c r="D105" s="8" t="inlineStr">
        <is>
          <t>Vies</t>
        </is>
      </c>
    </row>
    <row r="106">
      <c r="A106" s="6" t="inlineStr">
        <is>
          <t>生命 −{n}</t>
        </is>
      </c>
      <c r="B106" s="8" t="inlineStr">
        <is>
          <t>生命 −{n}</t>
        </is>
      </c>
      <c r="C106" s="8" t="inlineStr">
        <is>
          <t>Lives −{n}</t>
        </is>
      </c>
      <c r="D106" s="8" t="inlineStr">
        <is>
          <t>Vies −{n}</t>
        </is>
      </c>
    </row>
    <row r="107">
      <c r="A107" s="6" t="inlineStr">
        <is>
          <t>范围</t>
        </is>
      </c>
      <c r="B107" s="8" t="inlineStr">
        <is>
          <t>范围</t>
        </is>
      </c>
      <c r="C107" s="8" t="inlineStr">
        <is>
          <t>Area</t>
        </is>
      </c>
      <c r="D107" s="8" t="inlineStr">
        <is>
          <t>Zone</t>
        </is>
      </c>
    </row>
    <row r="108">
      <c r="A108" s="6" t="inlineStr">
        <is>
          <t>装置</t>
        </is>
      </c>
      <c r="B108" s="8" t="inlineStr">
        <is>
          <t>装置</t>
        </is>
      </c>
      <c r="C108" s="8" t="inlineStr">
        <is>
          <t>Device</t>
        </is>
      </c>
      <c r="D108" s="8" t="inlineStr">
        <is>
          <t>Dispositif</t>
        </is>
      </c>
    </row>
    <row r="109">
      <c r="A109" s="6" t="inlineStr">
        <is>
          <t>装置效果 {s}{n}%</t>
        </is>
      </c>
      <c r="B109" s="8" t="inlineStr">
        <is>
          <t>装置效果 {s}{n}%</t>
        </is>
      </c>
      <c r="C109" s="8" t="inlineStr">
        <is>
          <t>Device effect {s}{n}%</t>
        </is>
      </c>
      <c r="D109" s="8" t="inlineStr">
        <is>
          <t>Effet des dispositifs {s}{n} %</t>
        </is>
      </c>
    </row>
    <row r="110">
      <c r="A110" s="6" t="inlineStr">
        <is>
          <t>起点</t>
        </is>
      </c>
      <c r="B110" s="8" t="inlineStr">
        <is>
          <t>起点</t>
        </is>
      </c>
      <c r="C110" s="8" t="inlineStr">
        <is>
          <t>Start</t>
        </is>
      </c>
      <c r="D110" s="8" t="inlineStr">
        <is>
          <t>Départ</t>
        </is>
      </c>
    </row>
    <row r="111">
      <c r="A111" s="6" t="inlineStr">
        <is>
          <t>跑道</t>
        </is>
      </c>
      <c r="B111" s="8" t="inlineStr">
        <is>
          <t>跑道</t>
        </is>
      </c>
      <c r="C111" s="8" t="inlineStr">
        <is>
          <t>Track</t>
        </is>
      </c>
      <c r="D111" s="8" t="inlineStr">
        <is>
          <t>Explosive</t>
        </is>
      </c>
    </row>
    <row r="112">
      <c r="A112" s="6" t="inlineStr">
        <is>
          <t>还没有卡</t>
        </is>
      </c>
      <c r="B112" s="8" t="inlineStr">
        <is>
          <t>还没有卡</t>
        </is>
      </c>
      <c r="C112" s="8" t="inlineStr">
        <is>
          <t>No cards yet</t>
        </is>
      </c>
      <c r="D112" s="8" t="inlineStr">
        <is>
          <t>Aucune carte</t>
        </is>
      </c>
    </row>
    <row r="113">
      <c r="A113" s="6" t="inlineStr">
        <is>
          <t>连续劝退 ×{n}</t>
        </is>
      </c>
      <c r="B113" s="8" t="inlineStr">
        <is>
          <t>连续劝退 ×{n}</t>
        </is>
      </c>
      <c r="C113" s="8" t="inlineStr">
        <is>
          <t>Streak ×{n}</t>
        </is>
      </c>
      <c r="D113" s="8" t="inlineStr">
        <is>
          <t>Série ×{n}</t>
        </is>
      </c>
    </row>
    <row r="114">
      <c r="A114" s="6" t="inlineStr">
        <is>
          <t>选好后有 8 秒布置时间。</t>
        </is>
      </c>
      <c r="B114" s="8" t="inlineStr">
        <is>
          <t>选好后有 8 秒布置时间。</t>
        </is>
      </c>
      <c r="C114" s="8" t="inlineStr">
        <is>
          <t>You get 8 seconds to set up after choosing.</t>
        </is>
      </c>
      <c r="D114" s="8" t="inlineStr">
        <is>
          <t>Tu as 8 secondes pour te préparer.</t>
        </is>
      </c>
    </row>
    <row r="115">
      <c r="A115" s="6" t="inlineStr">
        <is>
          <t>选择第 {n} 段跑道</t>
        </is>
      </c>
      <c r="B115" s="8" t="inlineStr">
        <is>
          <t>选择第 {n} 段跑道</t>
        </is>
      </c>
      <c r="C115" s="8" t="inlineStr">
        <is>
          <t>Choose stretch {n}</t>
        </is>
      </c>
      <c r="D115" s="8" t="inlineStr">
        <is>
          <t>Choisis le tronçon {n}</t>
        </is>
      </c>
    </row>
    <row r="116">
      <c r="A116" s="6" t="inlineStr">
        <is>
          <t>通关</t>
        </is>
      </c>
      <c r="B116" s="8" t="inlineStr">
        <is>
          <t>通关</t>
        </is>
      </c>
      <c r="C116" s="8" t="inlineStr">
        <is>
          <t>Territory held!</t>
        </is>
      </c>
      <c r="D116" s="8" t="inlineStr">
        <is>
          <t>Territoire défendu !</t>
        </is>
      </c>
    </row>
    <row r="117">
      <c r="A117" s="6" t="inlineStr">
        <is>
          <t>道具</t>
        </is>
      </c>
      <c r="B117" s="8" t="inlineStr">
        <is>
          <t>道具</t>
        </is>
      </c>
      <c r="C117" s="8" t="inlineStr">
        <is>
          <t>Item</t>
        </is>
      </c>
      <c r="D117" s="8" t="inlineStr">
        <is>
          <t>Objet</t>
        </is>
      </c>
    </row>
    <row r="118">
      <c r="A118" s="6" t="inlineStr">
        <is>
          <t>重抽 · {n} GST</t>
        </is>
      </c>
      <c r="B118" s="8" t="inlineStr">
        <is>
          <t>重抽 · {n} GST</t>
        </is>
      </c>
      <c r="C118" s="8" t="inlineStr">
        <is>
          <t>Reroll · {n} GST</t>
        </is>
      </c>
      <c r="D118" s="8" t="inlineStr">
        <is>
          <t>Relancer · {n} GST</t>
        </is>
      </c>
    </row>
    <row r="119">
      <c r="A119" s="6" t="inlineStr">
        <is>
          <t>铁头冲刺</t>
        </is>
      </c>
      <c r="B119" s="8" t="inlineStr">
        <is>
          <t>铁头冲刺</t>
        </is>
      </c>
      <c r="C119" s="8" t="inlineStr">
        <is>
          <t>Headstrong Dash</t>
        </is>
      </c>
      <c r="D119" s="8" t="inlineStr">
        <is>
          <t>Charge tête baissée</t>
        </is>
      </c>
    </row>
    <row r="120">
      <c r="A120" s="6" t="inlineStr">
        <is>
          <t>锁定</t>
        </is>
      </c>
      <c r="B120" s="8" t="inlineStr">
        <is>
          <t>锁定</t>
        </is>
      </c>
      <c r="C120" s="8" t="inlineStr">
        <is>
          <t>Locked</t>
        </is>
      </c>
      <c r="D120" s="8" t="inlineStr">
        <is>
          <t>Verrouillé</t>
        </is>
      </c>
    </row>
    <row r="121">
      <c r="A121" s="6" t="inlineStr">
        <is>
          <t>间隔</t>
        </is>
      </c>
      <c r="B121" s="8" t="inlineStr">
        <is>
          <t>间隔</t>
        </is>
      </c>
      <c r="C121" s="8" t="inlineStr">
        <is>
          <t>Interval</t>
        </is>
      </c>
      <c r="D121" s="8" t="inlineStr">
        <is>
          <t>Intervalle</t>
        </is>
      </c>
    </row>
    <row r="122">
      <c r="A122" s="6" t="inlineStr">
        <is>
          <t>鞋匠 → {c}</t>
        </is>
      </c>
      <c r="B122" s="8" t="inlineStr">
        <is>
          <t>鞋匠 → {c}</t>
        </is>
      </c>
      <c r="C122" s="8" t="inlineStr">
        <is>
          <t>Cobbler → {c}</t>
        </is>
      </c>
      <c r="D122" s="8" t="inlineStr">
        <is>
          <t>Cordonnier → {c}</t>
        </is>
      </c>
    </row>
    <row r="123">
      <c r="A123" s="6" t="inlineStr">
        <is>
          <t>音乐 关</t>
        </is>
      </c>
      <c r="B123" s="8" t="inlineStr">
        <is>
          <t>音乐 关</t>
        </is>
      </c>
      <c r="C123" s="8" t="inlineStr">
        <is>
          <t>Music off</t>
        </is>
      </c>
      <c r="D123" s="8" t="inlineStr">
        <is>
          <t>Musique off</t>
        </is>
      </c>
    </row>
    <row r="124">
      <c r="A124" s="6" t="inlineStr">
        <is>
          <t>音乐 开</t>
        </is>
      </c>
      <c r="B124" s="8" t="inlineStr">
        <is>
          <t>音乐 开</t>
        </is>
      </c>
      <c r="C124" s="8" t="inlineStr">
        <is>
          <t>Music on</t>
        </is>
      </c>
      <c r="D124" s="8" t="inlineStr">
        <is>
          <t>Musique on</t>
        </is>
      </c>
    </row>
    <row r="125">
      <c r="A125" s="6" t="inlineStr">
        <is>
          <t>音效 关</t>
        </is>
      </c>
      <c r="B125" s="8" t="inlineStr">
        <is>
          <t>音效 关</t>
        </is>
      </c>
      <c r="C125" s="8" t="inlineStr">
        <is>
          <t>Sound off</t>
        </is>
      </c>
      <c r="D125" s="8" t="inlineStr">
        <is>
          <t>Son off</t>
        </is>
      </c>
    </row>
    <row r="126">
      <c r="A126" s="6" t="inlineStr">
        <is>
          <t>音效 开</t>
        </is>
      </c>
      <c r="B126" s="8" t="inlineStr">
        <is>
          <t>音效 开</t>
        </is>
      </c>
      <c r="C126" s="8" t="inlineStr">
        <is>
          <t>Sound on</t>
        </is>
      </c>
      <c r="D126" s="8" t="inlineStr">
        <is>
          <t>Son on</t>
        </is>
      </c>
    </row>
    <row r="127">
      <c r="A127" s="6" t="inlineStr">
        <is>
          <t>领地失守 · 第 {n} 波</t>
        </is>
      </c>
      <c r="B127" s="8" t="inlineStr">
        <is>
          <t>领地失守 · 第 {n} 波</t>
        </is>
      </c>
      <c r="C127" s="8" t="inlineStr">
        <is>
          <t>Territory lost · wave {n}</t>
        </is>
      </c>
      <c r="D127" s="8" t="inlineStr">
        <is>
          <t>Territoire perdu · vague {n}</t>
        </is>
      </c>
    </row>
    <row r="128">
      <c r="A128" s="6" t="inlineStr">
        <is>
          <t>领地跑道，点击虚线圆圈放置装置</t>
        </is>
      </c>
      <c r="B128" s="8" t="inlineStr">
        <is>
          <t>领地跑道，点击虚线圆圈放置装置</t>
        </is>
      </c>
      <c r="C128" s="8" t="inlineStr">
        <is>
          <t>Territory track; tap a dashed circle to place a device</t>
        </is>
      </c>
      <c r="D128" s="8" t="inlineStr">
        <is>
          <t>Piste du territoire ; touche un cercle pour placer un dispositif</t>
        </is>
      </c>
    </row>
    <row r="129">
      <c r="A129" s="6" t="inlineStr">
        <is>
          <t>高风险</t>
        </is>
      </c>
      <c r="B129" s="8" t="inlineStr">
        <is>
          <t>高风险</t>
        </is>
      </c>
      <c r="C129" s="8" t="inlineStr">
        <is>
          <t>Risky</t>
        </is>
      </c>
      <c r="D129" s="8" t="inlineStr">
        <is>
          <t>Risqué</t>
        </is>
      </c>
    </row>
    <row r="130">
      <c r="A130" s="6" t="inlineStr">
        <is>
          <t>（选后可在空位放置）</t>
        </is>
      </c>
      <c r="B130" s="8" t="inlineStr">
        <is>
          <t>（选后可在空位放置）</t>
        </is>
      </c>
      <c r="C130" s="8" t="inlineStr">
        <is>
          <t xml:space="preserve"> (place it on an empty spot)</t>
        </is>
      </c>
      <c r="D130" s="8" t="inlineStr">
        <is>
          <t xml:space="preserve"> (à placer sur un emplacement libre)</t>
        </is>
      </c>
    </row>
    <row r="131">
      <c r="A131" s="6" t="inlineStr">
        <is>
          <t>，下一级「{x}」不可用</t>
        </is>
      </c>
      <c r="B131" s="8" t="inlineStr">
        <is>
          <t>，下一级「{x}」不可用</t>
        </is>
      </c>
      <c r="C131" s="8" t="inlineStr">
        <is>
          <t>; next tier “{x}” unavailable</t>
        </is>
      </c>
      <c r="D131" s="8" t="inlineStr">
        <is>
          <t xml:space="preserve"> ; niveau suivant « {x} » indisponible</t>
        </is>
      </c>
    </row>
    <row r="132">
      <c r="A132" s="6" t="inlineStr">
        <is>
          <t>出手速度 ×{r}，持续 {n} 秒</t>
        </is>
      </c>
      <c r="B132" s="8" t="inlineStr">
        <is>
          <t>出手速度 ×{r}，持续 {n} 秒</t>
        </is>
      </c>
      <c r="C132" s="8" t="inlineStr">
        <is>
          <t>Device speed ×{r} for {n} s</t>
        </is>
      </c>
      <c r="D132" s="8" t="inlineStr">
        <is>
          <t>Vitesse des dispositifs ×{r} pendant {n} s</t>
        </is>
      </c>
    </row>
    <row r="133">
      <c r="A133" s="6" t="inlineStr">
        <is>
          <t>全场冻结 {n} 秒</t>
        </is>
      </c>
      <c r="B133" s="8" t="inlineStr">
        <is>
          <t>全场冻结 {n} 秒</t>
        </is>
      </c>
      <c r="C133" s="8" t="inlineStr">
        <is>
          <t>Whole track frozen for {n} s</t>
        </is>
      </c>
      <c r="D133" s="8" t="inlineStr">
        <is>
          <t>Toute la piste gelée {n} s</t>
        </is>
      </c>
    </row>
    <row r="134">
      <c r="A134" s="6" t="inlineStr">
        <is>
          <t>{n} 条提示</t>
        </is>
      </c>
      <c r="B134" s="8" t="inlineStr">
        <is>
          <t>{n} 条提示</t>
        </is>
      </c>
      <c r="C134" s="8" t="inlineStr">
        <is>
          <t>{n} notes</t>
        </is>
      </c>
      <c r="D134" s="8" t="inlineStr">
        <is>
          <t>{n} remarques</t>
        </is>
      </c>
    </row>
    <row r="135">
      <c r="A135" s="6" t="inlineStr">
        <is>
          <t>读取表格的组件加载失败，请检查网络后重试</t>
        </is>
      </c>
      <c r="B135" s="8" t="inlineStr">
        <is>
          <t>读取表格的组件加载失败，请检查网络后重试</t>
        </is>
      </c>
      <c r="C135" s="8" t="inlineStr">
        <is>
          <t>Could not load the spreadsheet reader. Check your connection and try again.</t>
        </is>
      </c>
      <c r="D135" s="8" t="inlineStr">
        <is>
          <t>Impossible de charger le lecteur de tableur. Vérifie ta connexion et réessaie.</t>
        </is>
      </c>
    </row>
    <row r="136">
      <c r="A136" s="6" t="inlineStr">
        <is>
          <t>缺少工作表「{x}」，使用默认值</t>
        </is>
      </c>
      <c r="B136" s="8" t="inlineStr">
        <is>
          <t>缺少工作表「{x}」，使用默认值</t>
        </is>
      </c>
      <c r="C136" s="8" t="inlineStr">
        <is>
          <t>Sheet “{x}” is missing; using defaults</t>
        </is>
      </c>
      <c r="D136" s="8" t="inlineStr">
        <is>
          <t>Feuille « {x} » absente ; valeurs par défaut utilisées</t>
        </is>
      </c>
    </row>
    <row r="137">
      <c r="A137" s="6" t="inlineStr">
        <is>
          <t>{w}：「{v}」不是数字，使用默认值 {d}</t>
        </is>
      </c>
      <c r="B137" s="8" t="inlineStr">
        <is>
          <t>{w}：「{v}」不是数字，使用默认值 {d}</t>
        </is>
      </c>
      <c r="C137" s="8" t="inlineStr">
        <is>
          <t>{w}: “{v}” is not a number; using default {d}</t>
        </is>
      </c>
      <c r="D137" s="8" t="inlineStr">
        <is>
          <t>{w} : « {v} » n’est pas un nombre ; valeur par défaut {d}</t>
        </is>
      </c>
    </row>
    <row r="138">
      <c r="A138" s="6" t="inlineStr">
        <is>
          <t>全局 {x}</t>
        </is>
      </c>
      <c r="B138" s="8" t="inlineStr">
        <is>
          <t>全局 {x}</t>
        </is>
      </c>
      <c r="C138" s="8" t="inlineStr">
        <is>
          <t>Global {x}</t>
        </is>
      </c>
      <c r="D138" s="8" t="inlineStr">
        <is>
          <t>Global {x}</t>
        </is>
      </c>
    </row>
    <row r="139">
      <c r="A139" s="6" t="inlineStr">
        <is>
          <t>全局：未知参数「{x}」已忽略</t>
        </is>
      </c>
      <c r="B139" s="8" t="inlineStr">
        <is>
          <t>全局：未知参数「{x}」已忽略</t>
        </is>
      </c>
      <c r="C139" s="8" t="inlineStr">
        <is>
          <t>Global: unknown setting “{x}” ignored</t>
        </is>
      </c>
      <c r="D139" s="8" t="inlineStr">
        <is>
          <t>Global : paramètre inconnu « {x} » ignoré</t>
        </is>
      </c>
    </row>
    <row r="140">
      <c r="A140" s="6" t="inlineStr">
        <is>
          <t>装置第 {n} 行：未知 id「{x}」已忽略</t>
        </is>
      </c>
      <c r="B140" s="8" t="inlineStr">
        <is>
          <t>装置第 {n} 行：未知 id「{x}」已忽略</t>
        </is>
      </c>
      <c r="C140" s="8" t="inlineStr">
        <is>
          <t>Devices row {n}: unknown id “{x}” ignored</t>
        </is>
      </c>
      <c r="D140" s="8" t="inlineStr">
        <is>
          <t>Dispositifs ligne {n} : id inconnu « {x} » ignoré</t>
        </is>
      </c>
    </row>
    <row r="141">
      <c r="A141" s="6" t="inlineStr">
        <is>
          <t>装置 {x} {k}</t>
        </is>
      </c>
      <c r="B141" s="8" t="inlineStr">
        <is>
          <t>装置 {x} {k}</t>
        </is>
      </c>
      <c r="C141" s="8" t="inlineStr">
        <is>
          <t>Device {x} {k}</t>
        </is>
      </c>
      <c r="D141" s="8" t="inlineStr">
        <is>
          <t>Dispositif {x} {k}</t>
        </is>
      </c>
    </row>
    <row r="142">
      <c r="A142" s="6" t="inlineStr">
        <is>
          <t>升级路线第 {n} 行：找不到对应路线</t>
        </is>
      </c>
      <c r="B142" s="8" t="inlineStr">
        <is>
          <t>升级路线第 {n} 行：找不到对应路线</t>
        </is>
      </c>
      <c r="C142" s="8" t="inlineStr">
        <is>
          <t>Paths row {n}: no matching path</t>
        </is>
      </c>
      <c r="D142" s="8" t="inlineStr">
        <is>
          <t>Voies ligne {n} : voie introuvable</t>
        </is>
      </c>
    </row>
    <row r="143">
      <c r="A143" s="6" t="inlineStr">
        <is>
          <t>升级第 {n} 行：找不到对应等级</t>
        </is>
      </c>
      <c r="B143" s="8" t="inlineStr">
        <is>
          <t>升级第 {n} 行：找不到对应等级</t>
        </is>
      </c>
      <c r="C143" s="8" t="inlineStr">
        <is>
          <t>Upgrades row {n}: no matching tier</t>
        </is>
      </c>
      <c r="D143" s="8" t="inlineStr">
        <is>
          <t>Améliorations ligne {n} : niveau introuvable</t>
        </is>
      </c>
    </row>
    <row r="144">
      <c r="A144" s="6" t="inlineStr">
        <is>
          <t>升级第 {n} 行 cost</t>
        </is>
      </c>
      <c r="B144" s="8" t="inlineStr">
        <is>
          <t>升级第 {n} 行 cost</t>
        </is>
      </c>
      <c r="C144" s="8" t="inlineStr">
        <is>
          <t>Upgrades row {n} cost</t>
        </is>
      </c>
      <c r="D144" s="8" t="inlineStr">
        <is>
          <t>Améliorations ligne {n} cost</t>
        </is>
      </c>
    </row>
    <row r="145">
      <c r="A145" s="6" t="inlineStr">
        <is>
          <t>升级第 {n} 行：效果「{x}」写法有误，保留原效果</t>
        </is>
      </c>
      <c r="B145" s="8" t="inlineStr">
        <is>
          <t>升级第 {n} 行：效果「{x}」写法有误，保留原效果</t>
        </is>
      </c>
      <c r="C145" s="8" t="inlineStr">
        <is>
          <t>Upgrades row {n}: effect “{x}” is invalid; kept the previous effect</t>
        </is>
      </c>
      <c r="D145" s="8" t="inlineStr">
        <is>
          <t>Améliorations ligne {n} : effet « {x} » invalide ; effet précédent conservé</t>
        </is>
      </c>
    </row>
    <row r="146">
      <c r="A146" s="6" t="inlineStr">
        <is>
          <t>敌人第 {n} 行：未知 id 已忽略</t>
        </is>
      </c>
      <c r="B146" s="8" t="inlineStr">
        <is>
          <t>敌人第 {n} 行：未知 id 已忽略</t>
        </is>
      </c>
      <c r="C146" s="8" t="inlineStr">
        <is>
          <t>Enemies row {n}: unknown id ignored</t>
        </is>
      </c>
      <c r="D146" s="8" t="inlineStr">
        <is>
          <t>Ennemis ligne {n} : id inconnu ignoré</t>
        </is>
      </c>
    </row>
    <row r="147">
      <c r="A147" s="6" t="inlineStr">
        <is>
          <t>敌人 {x} {k}</t>
        </is>
      </c>
      <c r="B147" s="8" t="inlineStr">
        <is>
          <t>敌人 {x} {k}</t>
        </is>
      </c>
      <c r="C147" s="8" t="inlineStr">
        <is>
          <t>Enemy {x} {k}</t>
        </is>
      </c>
      <c r="D147" s="8" t="inlineStr">
        <is>
          <t>Ennemi {x} {k}</t>
        </is>
      </c>
    </row>
    <row r="148">
      <c r="A148" s="6" t="inlineStr">
        <is>
          <t>波次第 {n} 行 {k}</t>
        </is>
      </c>
      <c r="B148" s="8" t="inlineStr">
        <is>
          <t>波次第 {n} 行 {k}</t>
        </is>
      </c>
      <c r="C148" s="8" t="inlineStr">
        <is>
          <t>Waves row {n} {k}</t>
        </is>
      </c>
      <c r="D148" s="8" t="inlineStr">
        <is>
          <t>Vagues ligne {n} {k}</t>
        </is>
      </c>
    </row>
    <row r="149">
      <c r="A149" s="6" t="inlineStr">
        <is>
          <t>Boss 第 {n} 行：未知 id 已忽略</t>
        </is>
      </c>
      <c r="B149" s="8" t="inlineStr">
        <is>
          <t>Boss 第 {n} 行：未知 id 已忽略</t>
        </is>
      </c>
      <c r="C149" s="8" t="inlineStr">
        <is>
          <t>Bosses row {n}: unknown id ignored</t>
        </is>
      </c>
      <c r="D149" s="8" t="inlineStr">
        <is>
          <t>Boss ligne {n} : id inconnu ignoré</t>
        </is>
      </c>
    </row>
    <row r="150">
      <c r="A150" s="6" t="inlineStr">
        <is>
          <t>Boss {x} enabled</t>
        </is>
      </c>
      <c r="B150" s="8" t="inlineStr">
        <is>
          <t>Boss {x} enabled</t>
        </is>
      </c>
      <c r="C150" s="8" t="inlineStr">
        <is>
          <t>Boss {x} enabled</t>
        </is>
      </c>
      <c r="D150" s="8" t="inlineStr">
        <is>
          <t>Boss {x} enabled</t>
        </is>
      </c>
    </row>
    <row r="151">
      <c r="A151" s="6" t="inlineStr">
        <is>
          <t>Boss {x} p{i}</t>
        </is>
      </c>
      <c r="B151" s="8" t="inlineStr">
        <is>
          <t>Boss {x} p{i}</t>
        </is>
      </c>
      <c r="C151" s="8" t="inlineStr">
        <is>
          <t>Boss {x} p{i}</t>
        </is>
      </c>
      <c r="D151" s="8" t="inlineStr">
        <is>
          <t>Boss {x} p{i}</t>
        </is>
      </c>
    </row>
    <row r="152">
      <c r="A152" s="6" t="inlineStr">
        <is>
          <t>卡牌第 {n} 行：未知 id「{x}」已忽略</t>
        </is>
      </c>
      <c r="B152" s="8" t="inlineStr">
        <is>
          <t>卡牌第 {n} 行：未知 id「{x}」已忽略</t>
        </is>
      </c>
      <c r="C152" s="8" t="inlineStr">
        <is>
          <t>Cards row {n}: unknown id “{x}” ignored</t>
        </is>
      </c>
      <c r="D152" s="8" t="inlineStr">
        <is>
          <t>Cartes ligne {n} : id inconnu « {x} » ignoré</t>
        </is>
      </c>
    </row>
    <row r="153">
      <c r="A153" s="6" t="inlineStr">
        <is>
          <t>卡牌 {x} enabled</t>
        </is>
      </c>
      <c r="B153" s="8" t="inlineStr">
        <is>
          <t>卡牌 {x} enabled</t>
        </is>
      </c>
      <c r="C153" s="8" t="inlineStr">
        <is>
          <t>Card {x} enabled</t>
        </is>
      </c>
      <c r="D153" s="8" t="inlineStr">
        <is>
          <t>Carte {x} enabled</t>
        </is>
      </c>
    </row>
    <row r="154">
      <c r="A154" s="6" t="inlineStr">
        <is>
          <t>卡牌 {x} stack</t>
        </is>
      </c>
      <c r="B154" s="8" t="inlineStr">
        <is>
          <t>卡牌 {x} stack</t>
        </is>
      </c>
      <c r="C154" s="8" t="inlineStr">
        <is>
          <t>Card {x} stack</t>
        </is>
      </c>
      <c r="D154" s="8" t="inlineStr">
        <is>
          <t>Carte {x} stack</t>
        </is>
      </c>
    </row>
    <row r="155">
      <c r="A155" s="6" t="inlineStr">
        <is>
          <t>卡牌 {x} v1</t>
        </is>
      </c>
      <c r="B155" s="8" t="inlineStr">
        <is>
          <t>卡牌 {x} v1</t>
        </is>
      </c>
      <c r="C155" s="8" t="inlineStr">
        <is>
          <t>Card {x} v1</t>
        </is>
      </c>
      <c r="D155" s="8" t="inlineStr">
        <is>
          <t>Carte {x} v1</t>
        </is>
      </c>
    </row>
    <row r="156">
      <c r="A156" s="6" t="inlineStr">
        <is>
          <t>卡牌 {x} v2</t>
        </is>
      </c>
      <c r="B156" s="8" t="inlineStr">
        <is>
          <t>卡牌 {x} v2</t>
        </is>
      </c>
      <c r="C156" s="8" t="inlineStr">
        <is>
          <t>Card {x} v2</t>
        </is>
      </c>
      <c r="D156" s="8" t="inlineStr">
        <is>
          <t>Carte {x} v2</t>
        </is>
      </c>
    </row>
    <row r="157">
      <c r="A157" s="6" t="inlineStr">
        <is>
          <t>地图第 {n} 行 x</t>
        </is>
      </c>
      <c r="B157" s="8" t="inlineStr">
        <is>
          <t>地图第 {n} 行 x</t>
        </is>
      </c>
      <c r="C157" s="8" t="inlineStr">
        <is>
          <t>Map row {n} x</t>
        </is>
      </c>
      <c r="D157" s="8" t="inlineStr">
        <is>
          <t>Carte ligne {n} x</t>
        </is>
      </c>
    </row>
    <row r="158">
      <c r="A158" s="6" t="inlineStr">
        <is>
          <t>地图第 {n} 行 y</t>
        </is>
      </c>
      <c r="B158" s="8" t="inlineStr">
        <is>
          <t>地图第 {n} 行 y</t>
        </is>
      </c>
      <c r="C158" s="8" t="inlineStr">
        <is>
          <t>Map row {n} y</t>
        </is>
      </c>
      <c r="D158" s="8" t="inlineStr">
        <is>
          <t>Carte ligne {n} y</t>
        </is>
      </c>
    </row>
    <row r="159">
      <c r="A159" s="6" t="inlineStr">
        <is>
          <t>地图：跑道至少需要 2 个点，使用默认跑道</t>
        </is>
      </c>
      <c r="B159" s="8" t="inlineStr">
        <is>
          <t>地图：跑道至少需要 2 个点，使用默认跑道</t>
        </is>
      </c>
      <c r="C159" s="8" t="inlineStr">
        <is>
          <t>Map: the track needs at least 2 points; using the default track</t>
        </is>
      </c>
      <c r="D159" s="8" t="inlineStr">
        <is>
          <t>Carte : la piste demande au moins 2 points ; piste par défaut</t>
        </is>
      </c>
    </row>
    <row r="160">
      <c r="A160" s="6" t="inlineStr">
        <is>
          <t>地图：至少需要 1 个空位，使用默认空位</t>
        </is>
      </c>
      <c r="B160" s="8" t="inlineStr">
        <is>
          <t>地图：至少需要 1 个空位，使用默认空位</t>
        </is>
      </c>
      <c r="C160" s="8" t="inlineStr">
        <is>
          <t>Map: at least 1 spot is needed; using default spots</t>
        </is>
      </c>
      <c r="D160" s="8" t="inlineStr">
        <is>
          <t>Carte : il faut au moins 1 emplacement ; emplacements par défaut</t>
        </is>
      </c>
    </row>
    <row r="161">
      <c r="A161" s="6" t="inlineStr">
        <is>
          <t>波次为空，使用默认波次</t>
        </is>
      </c>
      <c r="B161" s="8" t="inlineStr">
        <is>
          <t>波次为空，使用默认波次</t>
        </is>
      </c>
      <c r="C161" s="8" t="inlineStr">
        <is>
          <t>No waves found; using default waves</t>
        </is>
      </c>
      <c r="D161" s="8" t="inlineStr">
        <is>
          <t>Aucune vague ; vagues par défaut</t>
        </is>
      </c>
    </row>
    <row r="162">
      <c r="A162" s="6" t="inlineStr">
        <is>
          <t>正在使用：{x}</t>
        </is>
      </c>
      <c r="B162" s="8" t="inlineStr">
        <is>
          <t>正在使用：{x}</t>
        </is>
      </c>
      <c r="C162" s="8" t="inlineStr">
        <is>
          <t>Using: {x}</t>
        </is>
      </c>
      <c r="D162" s="8" t="inlineStr">
        <is>
          <t>Configuration : {x}</t>
        </is>
      </c>
    </row>
    <row r="163">
      <c r="A163" s="6" t="inlineStr">
        <is>
          <t>正在使用：默认配置</t>
        </is>
      </c>
      <c r="B163" s="8" t="inlineStr">
        <is>
          <t>正在使用：默认配置</t>
        </is>
      </c>
      <c r="C163" s="8" t="inlineStr">
        <is>
          <t>Using: default config</t>
        </is>
      </c>
      <c r="D163" s="8" t="inlineStr">
        <is>
          <t>Configuration : par défaut</t>
        </is>
      </c>
    </row>
    <row r="164">
      <c r="A164" s="6" t="inlineStr">
        <is>
          <t>正在读取…</t>
        </is>
      </c>
      <c r="B164" s="8" t="inlineStr">
        <is>
          <t>正在读取…</t>
        </is>
      </c>
      <c r="C164" s="8" t="inlineStr">
        <is>
          <t>Reading…</t>
        </is>
      </c>
      <c r="D164" s="8" t="inlineStr">
        <is>
          <t>Lecture…</t>
        </is>
      </c>
    </row>
    <row r="165">
      <c r="A165" s="6" t="inlineStr">
        <is>
          <t>导入失败：{x}</t>
        </is>
      </c>
      <c r="B165" s="8" t="inlineStr">
        <is>
          <t>导入失败：{x}</t>
        </is>
      </c>
      <c r="C165" s="8" t="inlineStr">
        <is>
          <t>Import failed: {x}</t>
        </is>
      </c>
      <c r="D165" s="8" t="inlineStr">
        <is>
          <t>Échec de l’import : {x}</t>
        </is>
      </c>
    </row>
    <row r="166">
      <c r="A166" s="6" t="inlineStr">
        <is>
          <t>导入配置表 (.xlsx)</t>
        </is>
      </c>
      <c r="B166" s="8" t="inlineStr">
        <is>
          <t>导入配置表 (.xlsx)</t>
        </is>
      </c>
      <c r="C166" s="8" t="inlineStr">
        <is>
          <t>Import config (.xlsx)</t>
        </is>
      </c>
      <c r="D166" s="8" t="inlineStr">
        <is>
          <t>Importer la config (.xlsx)</t>
        </is>
      </c>
    </row>
    <row r="167">
      <c r="A167" s="6" t="inlineStr">
        <is>
          <t>恢复默认</t>
        </is>
      </c>
      <c r="B167" s="8" t="inlineStr">
        <is>
          <t>恢复默认</t>
        </is>
      </c>
      <c r="C167" s="8" t="inlineStr">
        <is>
          <t>Reset to default</t>
        </is>
      </c>
      <c r="D167" s="8" t="inlineStr">
        <is>
          <t>Rétablir par défaut</t>
        </is>
      </c>
    </row>
    <row r="168">
      <c r="A168" s="6" t="inlineStr">
        <is>
          <t>在 Excel 或 Google Sheets 中修改配置表后导出为 .xlsx 再导入，游戏会立即按新数值和名称重新开局。导入的配置只保存在这台设备的浏览器里。</t>
        </is>
      </c>
      <c r="B168" s="8" t="inlineStr">
        <is>
          <t>在 Excel 或 Google Sheets 中修改配置表后导出为 .xlsx 再导入，游戏会立即按新数值和名称重新开局。导入的配置只保存在这台设备的浏览器里。</t>
        </is>
      </c>
      <c r="C168" s="8" t="inlineStr">
        <is>
          <t>Edit the config sheet in Excel or Google Sheets, export it as .xlsx and import it here. The game restarts right away with the new numbers and names. Imported configs are saved only in this browser.</t>
        </is>
      </c>
      <c r="D168" s="8" t="inlineStr">
        <is>
          <t>Modifie la config dans Excel ou Google Sheets, exporte-la en .xlsx puis importe-la ici. La partie redémarre aussitôt avec les nouvelles valeurs et noms. La config importée reste dans ce navigateur.</t>
        </is>
      </c>
    </row>
    <row r="169">
      <c r="A169" s="6" t="inlineStr">
        <is>
          <t>随机</t>
        </is>
      </c>
      <c r="B169" s="8" t="inlineStr">
        <is>
          <t>随机</t>
        </is>
      </c>
      <c r="C169" s="8" t="inlineStr">
        <is>
          <t>Random</t>
        </is>
      </c>
      <c r="D169" s="8" t="inlineStr">
        <is>
          <t>Aléatoire</t>
        </is>
      </c>
    </row>
    <row r="170">
      <c r="A170" s="6" t="inlineStr">
        <is>
          <t>跑道选择</t>
        </is>
      </c>
      <c r="B170" s="8" t="inlineStr">
        <is>
          <t>跑道选择</t>
        </is>
      </c>
      <c r="C170" s="8" t="inlineStr">
        <is>
          <t>Track</t>
        </is>
      </c>
      <c r="D170" s="8" t="inlineStr">
        <is>
          <t>Piste</t>
        </is>
      </c>
    </row>
    <row r="171">
      <c r="A171" s="6" t="inlineStr">
        <is>
          <t>本局跑道：{x}。{d}</t>
        </is>
      </c>
      <c r="B171" s="8" t="inlineStr">
        <is>
          <t>本局跑道：{x}。{d}</t>
        </is>
      </c>
      <c r="C171" s="8" t="inlineStr">
        <is>
          <t>Track: {x}. {d}</t>
        </is>
      </c>
      <c r="D171" s="8" t="inlineStr">
        <is>
          <t>Piste : {x}. {d}</t>
        </is>
      </c>
    </row>
    <row r="172">
      <c r="A172" s="6" t="inlineStr">
        <is>
          <t>跑道 {x} enabled</t>
        </is>
      </c>
      <c r="B172" s="8" t="inlineStr">
        <is>
          <t>跑道 {x} enabled</t>
        </is>
      </c>
      <c r="C172" s="8" t="inlineStr">
        <is>
          <t>Track {x} enabled</t>
        </is>
      </c>
      <c r="D172" s="8" t="inlineStr">
        <is>
          <t>Piste {x} enabled</t>
        </is>
      </c>
    </row>
    <row r="173">
      <c r="A173" s="6" t="inlineStr">
        <is>
          <t>跑道 {x} spdMult</t>
        </is>
      </c>
      <c r="B173" s="8" t="inlineStr">
        <is>
          <t>跑道 {x} spdMult</t>
        </is>
      </c>
      <c r="C173" s="8" t="inlineStr">
        <is>
          <t>Track {x} spdMult</t>
        </is>
      </c>
      <c r="D173" s="8" t="inlineStr">
        <is>
          <t>Piste {x} spdMult</t>
        </is>
      </c>
    </row>
    <row r="174">
      <c r="A174" s="6" t="inlineStr">
        <is>
          <t>跑道 {x} hpMult</t>
        </is>
      </c>
      <c r="B174" s="8" t="inlineStr">
        <is>
          <t>跑道 {x} hpMult</t>
        </is>
      </c>
      <c r="C174" s="8" t="inlineStr">
        <is>
          <t>Track {x} hpMult</t>
        </is>
      </c>
      <c r="D174" s="8" t="inlineStr">
        <is>
          <t>Piste {x} hpMult</t>
        </is>
      </c>
    </row>
    <row r="175">
      <c r="A175" s="6" t="inlineStr">
        <is>
          <t>地图：跑道「{x}」不在「跑道列表」里，已忽略</t>
        </is>
      </c>
      <c r="B175" s="8" t="inlineStr">
        <is>
          <t>地图：跑道「{x}」不在「跑道列表」里，已忽略</t>
        </is>
      </c>
      <c r="C175" s="8" t="inlineStr">
        <is>
          <t>Map: track “{x}” is not in the track list; ignored</t>
        </is>
      </c>
      <c r="D175" s="8" t="inlineStr">
        <is>
          <t>Carte : piste « {x} » absente de la liste ; ignorée</t>
        </is>
      </c>
    </row>
    <row r="176">
      <c r="A176" s="6" t="inlineStr">
        <is>
          <t>地图「{x}」：每条路线至少需要 2 个点，保留原跑道</t>
        </is>
      </c>
      <c r="B176" s="8" t="inlineStr">
        <is>
          <t>地图「{x}」：每条路线至少需要 2 个点，保留原跑道</t>
        </is>
      </c>
      <c r="C176" s="8" t="inlineStr">
        <is>
          <t>Map “{x}”: each route needs at least 2 points; kept the previous track</t>
        </is>
      </c>
      <c r="D176" s="8" t="inlineStr">
        <is>
          <t>Carte « {x} » : chaque tracé demande 2 points ; piste précédente conservée</t>
        </is>
      </c>
    </row>
    <row r="177">
      <c r="A177" s="6" t="inlineStr">
        <is>
          <t>地图「{x}」：至少需要 1 个空位，保留原空位</t>
        </is>
      </c>
      <c r="B177" s="8" t="inlineStr">
        <is>
          <t>地图「{x}」：至少需要 1 个空位，保留原空位</t>
        </is>
      </c>
      <c r="C177" s="8" t="inlineStr">
        <is>
          <t>Map “{x}”: at least 1 spot is needed; kept the previous spots</t>
        </is>
      </c>
      <c r="D177" s="8" t="inlineStr">
        <is>
          <t>Carte « {x} » : il faut au moins 1 emplacement ; emplacements précédents conservés</t>
        </is>
      </c>
    </row>
    <row r="178">
      <c r="A178" s="6" t="inlineStr">
        <is>
          <t>导入美术图片（可多选）</t>
        </is>
      </c>
      <c r="B178" s="8" t="inlineStr">
        <is>
          <t>导入美术图片（可多选）</t>
        </is>
      </c>
      <c r="C178" s="8" t="inlineStr">
        <is>
          <t>Import art images (multiple)</t>
        </is>
      </c>
      <c r="D178" s="8" t="inlineStr">
        <is>
          <t>Importer des images (plusieurs)</t>
        </is>
      </c>
    </row>
    <row r="179">
      <c r="A179" s="6" t="inlineStr">
        <is>
          <t>清除导入的图片</t>
        </is>
      </c>
      <c r="B179" s="8" t="inlineStr">
        <is>
          <t>清除导入的图片</t>
        </is>
      </c>
      <c r="C179" s="8" t="inlineStr">
        <is>
          <t>Clear imported images</t>
        </is>
      </c>
      <c r="D179" s="8" t="inlineStr">
        <is>
          <t>Effacer les images importées</t>
        </is>
      </c>
    </row>
    <row r="180">
      <c r="A180" s="6" t="inlineStr">
        <is>
          <t>图片文件名用资源编号命名（如 tower.dart.png、boss.yawn.png），会自动替换对应的占位图。编号和尺寸见配置表「美术资源」工作表。</t>
        </is>
      </c>
      <c r="B180" s="8" t="inlineStr">
        <is>
          <t>图片文件名用资源编号命名（如 tower.dart.png、boss.yawn.png），会自动替换对应的占位图。编号和尺寸见配置表「美术资源」工作表。</t>
        </is>
      </c>
      <c r="C180" s="8" t="inlineStr">
        <is>
          <t>Name each image file after its asset key (e.g. tower.dart.png, boss.yawn.png) and it replaces the matching placeholder. Keys and sizes are in the “美术资源” (Art) sheet of the config workbook.</t>
        </is>
      </c>
      <c r="D180" s="8" t="inlineStr">
        <is>
          <t>Nommez chaque image d’après sa clé (ex. tower.dart.png, boss.yawn.png) : elle remplace le dessin provisoire correspondant. Clés et tailles : feuille « 美术资源 » (Art) du classeur.</t>
        </is>
      </c>
    </row>
    <row r="181">
      <c r="A181" s="6" t="inlineStr">
        <is>
          <t>美术资源：全部使用占位图</t>
        </is>
      </c>
      <c r="B181" s="8" t="inlineStr">
        <is>
          <t>美术资源：全部使用占位图</t>
        </is>
      </c>
      <c r="C181" s="8" t="inlineStr">
        <is>
          <t>Art: all placeholders</t>
        </is>
      </c>
      <c r="D181" s="8" t="inlineStr">
        <is>
          <t>Graphismes : tout est provisoire</t>
        </is>
      </c>
    </row>
    <row r="182">
      <c r="A182" s="6" t="inlineStr">
        <is>
          <t>美术资源：已替换 {n} 项（其中导入 {m} 张）</t>
        </is>
      </c>
      <c r="B182" s="8" t="inlineStr">
        <is>
          <t>美术资源：已替换 {n} 项（其中导入 {m} 张）</t>
        </is>
      </c>
      <c r="C182" s="8" t="inlineStr">
        <is>
          <t>Art: {n} replaced ({m} imported)</t>
        </is>
      </c>
      <c r="D182" s="8" t="inlineStr">
        <is>
          <t>Graphismes : {n} remplacés ({m} importés)</t>
        </is>
      </c>
    </row>
    <row r="183">
      <c r="A183" s="6" t="inlineStr">
        <is>
          <t>加载失败：{x}</t>
        </is>
      </c>
      <c r="B183" s="8" t="inlineStr">
        <is>
          <t>加载失败：{x}</t>
        </is>
      </c>
      <c r="C183" s="8" t="inlineStr">
        <is>
          <t>Failed to load: {x}</t>
        </is>
      </c>
      <c r="D183" s="8" t="inlineStr">
        <is>
          <t>Échec du chargement : {x}</t>
        </is>
      </c>
    </row>
    <row r="184">
      <c r="A184" s="6" t="inlineStr">
        <is>
          <t>这些文件名不是资源编号，已跳过：{x}</t>
        </is>
      </c>
      <c r="B184" s="8" t="inlineStr">
        <is>
          <t>这些文件名不是资源编号，已跳过：{x}</t>
        </is>
      </c>
      <c r="C184" s="8" t="inlineStr">
        <is>
          <t>Skipped (file name is not an asset key): {x}</t>
        </is>
      </c>
      <c r="D184" s="8" t="inlineStr">
        <is>
          <t>Ignorés (le nom n’est pas une clé) : {x}</t>
        </is>
      </c>
    </row>
    <row r="185">
      <c r="A185" s="6" t="inlineStr">
        <is>
          <t>图片太大，浏览器存不下，只在本次打开期间有效</t>
        </is>
      </c>
      <c r="B185" s="8" t="inlineStr">
        <is>
          <t>图片太大，浏览器存不下，只在本次打开期间有效</t>
        </is>
      </c>
      <c r="C185" s="8" t="inlineStr">
        <is>
          <t>Images too large for browser storage; they last only until you close the page</t>
        </is>
      </c>
      <c r="D185" s="8" t="inlineStr">
        <is>
          <t>Images trop lourdes pour le navigateur : valables jusqu’à la fermeture de la page</t>
        </is>
      </c>
    </row>
    <row r="186">
      <c r="A186" s="6" t="inlineStr">
        <is>
          <t>美术资源：新编号「{x}」游戏里没有用到</t>
        </is>
      </c>
      <c r="B186" s="8" t="inlineStr">
        <is>
          <t>美术资源：新编号「{x}」游戏里没有用到</t>
        </is>
      </c>
      <c r="C186" s="8" t="inlineStr">
        <is>
          <t>Art: key “{x}” is not used by the game</t>
        </is>
      </c>
      <c r="D186" s="8" t="inlineStr">
        <is>
          <t>Graphismes : la clé « {x} » n’est pas utilisée</t>
        </is>
      </c>
    </row>
    <row r="187">
      <c r="A187" s="6" t="inlineStr">
        <is>
          <t>美术资源 {x} {k}</t>
        </is>
      </c>
      <c r="B187" s="8" t="inlineStr">
        <is>
          <t>美术资源 {x} {k}</t>
        </is>
      </c>
      <c r="C187" s="8" t="inlineStr">
        <is>
          <t>Art {x} {k}</t>
        </is>
      </c>
      <c r="D187" s="8" t="inlineStr">
        <is>
          <t>Graphismes {x} {k}</t>
        </is>
      </c>
    </row>
    <row r="188">
      <c r="A188" s="6" t="inlineStr">
        <is>
          <t>点击开始</t>
        </is>
      </c>
      <c r="B188" s="8" t="inlineStr">
        <is>
          <t>点击开始</t>
        </is>
      </c>
      <c r="C188" s="8" t="inlineStr">
        <is>
          <t>Tap to start</t>
        </is>
      </c>
      <c r="D188" s="8" t="inlineStr">
        <is>
          <t>Touchez pour commencer</t>
        </is>
      </c>
    </row>
    <row r="189">
      <c r="A189" s="6" t="inlineStr">
        <is>
          <t>点跑道旁的石台放置装置，再点装置直接升级。</t>
        </is>
      </c>
      <c r="B189" s="8" t="inlineStr">
        <is>
          <t>点跑道旁的石台放置装置，再点装置直接升级。</t>
        </is>
      </c>
      <c r="C189" s="8" t="inlineStr">
        <is>
          <t>Tap a stone pad beside the track to place a device, then tap the device to upgrade it.</t>
        </is>
      </c>
      <c r="D189" s="8" t="inlineStr">
        <is>
          <t>Touchez un socle près de la piste pour poser un dispositif, puis touchez-le pour l’améliorer.</t>
        </is>
      </c>
    </row>
    <row r="190">
      <c r="A190" s="6" t="inlineStr">
        <is>
          <t>开跑！</t>
        </is>
      </c>
      <c r="B190" s="8" t="inlineStr">
        <is>
          <t>开跑！</t>
        </is>
      </c>
      <c r="C190" s="8" t="inlineStr">
        <is>
          <t>Go!</t>
        </is>
      </c>
      <c r="D190" s="8" t="inlineStr">
        <is>
          <t>Partez !</t>
        </is>
      </c>
    </row>
    <row r="191">
      <c r="A191" s="6" t="inlineStr">
        <is>
          <t>神秘箱开启中…</t>
        </is>
      </c>
      <c r="B191" s="8" t="inlineStr">
        <is>
          <t>神秘箱开启中…</t>
        </is>
      </c>
      <c r="C191" s="8" t="inlineStr">
        <is>
          <t>Opening the Mystery Box…</t>
        </is>
      </c>
      <c r="D191" s="8" t="inlineStr">
        <is>
          <t>Ouverture de la Mystery Box…</t>
        </is>
      </c>
    </row>
    <row r="192">
      <c r="A192" s="6" t="inlineStr">
        <is>
          <t>准备…</t>
        </is>
      </c>
      <c r="B192" s="8" t="inlineStr">
        <is>
          <t>准备…</t>
        </is>
      </c>
      <c r="C192" s="8" t="inlineStr">
        <is>
          <t>Get ready…</t>
        </is>
      </c>
      <c r="D192" s="8" t="inlineStr">
        <is>
          <t>Prêt…</t>
        </is>
      </c>
    </row>
    <row r="193">
      <c r="A193" s="6" t="inlineStr">
        <is>
          <t>建造装置</t>
        </is>
      </c>
      <c r="B193" s="8" t="inlineStr">
        <is>
          <t>建造装置</t>
        </is>
      </c>
      <c r="C193" s="8" t="inlineStr">
        <is>
          <t>Build a device</t>
        </is>
      </c>
      <c r="D193" s="8" t="inlineStr">
        <is>
          <t>Construire</t>
        </is>
      </c>
    </row>
    <row r="194">
      <c r="A194" s="6" t="inlineStr">
        <is>
          <t>关闭</t>
        </is>
      </c>
      <c r="B194" s="8" t="inlineStr">
        <is>
          <t>关闭</t>
        </is>
      </c>
      <c r="C194" s="8" t="inlineStr">
        <is>
          <t>Close</t>
        </is>
      </c>
      <c r="D194" s="8" t="inlineStr">
        <is>
          <t>Fermer</t>
        </is>
      </c>
    </row>
    <row r="195">
      <c r="A195" s="6" t="inlineStr">
        <is>
          <t>已锁定</t>
        </is>
      </c>
      <c r="B195" s="8" t="inlineStr">
        <is>
          <t>已锁定</t>
        </is>
      </c>
      <c r="C195" s="8" t="inlineStr">
        <is>
          <t>Locked</t>
        </is>
      </c>
      <c r="D195" s="8" t="inlineStr">
        <is>
          <t>Verrouillé</t>
        </is>
      </c>
    </row>
    <row r="196">
      <c r="A196" s="6" t="inlineStr">
        <is>
          <t>主</t>
        </is>
      </c>
      <c r="B196" s="8" t="inlineStr">
        <is>
          <t>主</t>
        </is>
      </c>
      <c r="C196" s="8" t="inlineStr">
        <is>
          <t>Main</t>
        </is>
      </c>
      <c r="D196" s="8" t="inlineStr">
        <is>
          <t>Princ.</t>
        </is>
      </c>
    </row>
    <row r="197">
      <c r="A197" s="6" t="inlineStr">
        <is>
          <t>次</t>
        </is>
      </c>
      <c r="B197" s="8" t="inlineStr">
        <is>
          <t>次</t>
        </is>
      </c>
      <c r="C197" s="8" t="inlineStr">
        <is>
          <t>2nd</t>
        </is>
      </c>
      <c r="D197" s="8" t="inlineStr">
        <is>
          <t>Sec.</t>
        </is>
      </c>
    </row>
    <row r="198">
      <c r="A198" s="6" t="inlineStr">
        <is>
          <t>主路线可升满 5 级，次路线最多 2 级</t>
        </is>
      </c>
      <c r="B198" s="8" t="inlineStr">
        <is>
          <t>主路线可升满 5 级，次路线最多 2 级</t>
        </is>
      </c>
      <c r="C198" s="8" t="inlineStr">
        <is>
          <t>Main path up to tier 5, second path up to tier 2</t>
        </is>
      </c>
      <c r="D198" s="8" t="inlineStr">
        <is>
          <t>Voie principale jusqu’au niv. 5, secondaire jusqu’au niv. 2</t>
        </is>
      </c>
    </row>
    <row r="199">
      <c r="A199" s="6" t="inlineStr">
        <is>
          <t>回收 +{n}</t>
        </is>
      </c>
      <c r="B199" s="8" t="inlineStr">
        <is>
          <t>回收 +{n}</t>
        </is>
      </c>
      <c r="C199" s="8" t="inlineStr">
        <is>
          <t>Recycle +{n}</t>
        </is>
      </c>
      <c r="D199" s="8" t="inlineStr">
        <is>
          <t>Recycler +{n}</t>
        </is>
      </c>
    </row>
    <row r="200">
      <c r="A200" s="6" t="inlineStr">
        <is>
          <t>跑步加成</t>
        </is>
      </c>
      <c r="B200" s="8" t="inlineStr">
        <is>
          <t>跑步加成</t>
        </is>
      </c>
      <c r="C200" s="8" t="inlineStr">
        <is>
          <t>Running boost</t>
        </is>
      </c>
      <c r="D200" s="8" t="inlineStr">
        <is>
          <t>Bonus de course</t>
        </is>
      </c>
    </row>
    <row r="201">
      <c r="A201" s="6" t="inlineStr">
        <is>
          <t>真实跑步会让你的装置更强。原型里用下面的开关模拟；正式版自动读取你在 STEPN 的跑步数据。</t>
        </is>
      </c>
      <c r="B201" s="8" t="inlineStr">
        <is>
          <t>真实跑步会让你的装置更强。原型里用下面的开关模拟；正式版自动读取你在 STEPN 的跑步数据。</t>
        </is>
      </c>
      <c r="C201" s="8" t="inlineStr">
        <is>
          <t>Real runs make your devices stronger. In this prototype you simulate it with the controls below; the live version reads your STEPN running data automatically.</t>
        </is>
      </c>
      <c r="D201" s="8" t="inlineStr">
        <is>
          <t>Courir pour de vrai renforce tes dispositifs. Dans ce prototype, simule-le ci-dessous ; la version finale lira automatiquement tes données de course STEPN.</t>
        </is>
      </c>
    </row>
    <row r="202">
      <c r="A202" s="6" t="inlineStr">
        <is>
          <t>公会天赋（模拟累计 RP）</t>
        </is>
      </c>
      <c r="B202" s="8" t="inlineStr">
        <is>
          <t>公会天赋（模拟累计 RP）</t>
        </is>
      </c>
      <c r="C202" s="8" t="inlineStr">
        <is>
          <t>Guild talent (simulated total RP)</t>
        </is>
      </c>
      <c r="D202" s="8" t="inlineStr">
        <is>
          <t>Talent de guilde (RP cumulés simulés)</t>
        </is>
      </c>
    </row>
    <row r="203">
      <c r="A203" s="6" t="inlineStr">
        <is>
          <t>累计 {r} RP · 未解锁</t>
        </is>
      </c>
      <c r="B203" s="8" t="inlineStr">
        <is>
          <t>累计 {r} RP · 未解锁</t>
        </is>
      </c>
      <c r="C203" s="8" t="inlineStr">
        <is>
          <t>{r} RP total · locked</t>
        </is>
      </c>
      <c r="D203" s="8" t="inlineStr">
        <is>
          <t>{r} RP cumulés · verrouillé</t>
        </is>
      </c>
    </row>
    <row r="204">
      <c r="A204" s="6" t="inlineStr">
        <is>
          <t>累计 {r} RP · {t} 档 +{b}%</t>
        </is>
      </c>
      <c r="B204" s="8" t="inlineStr">
        <is>
          <t>累计 {r} RP · {t} 档 +{b}%</t>
        </is>
      </c>
      <c r="C204" s="8" t="inlineStr">
        <is>
          <t>{r} RP total · tier {t} +{b}%</t>
        </is>
      </c>
      <c r="D204" s="8" t="inlineStr">
        <is>
          <t>{r} RP cumulés · palier {t} +{b} %</t>
        </is>
      </c>
    </row>
    <row r="205">
      <c r="A205" s="6" t="inlineStr">
        <is>
          <t>今日热身：今天在 STEPN 已跑满 {k} km → 当天所有对局装置效果 +{b}%</t>
        </is>
      </c>
      <c r="B205" s="8" t="inlineStr">
        <is>
          <t>今日热身：今天在 STEPN 已跑满 {k} km → 当天所有对局装置效果 +{b}%</t>
        </is>
      </c>
      <c r="C205" s="8" t="inlineStr">
        <is>
          <t>Warm-up: ran at least {k} km in STEPN today → all devices +{b}% effect in every run today</t>
        </is>
      </c>
      <c r="D205" s="8" t="inlineStr">
        <is>
          <t>Échauffement : au moins {k} km courus dans STEPN aujourd’hui → tous les dispositifs +{b} % d’effet dans chaque partie du jour</t>
        </is>
      </c>
    </row>
    <row r="206">
      <c r="A206" s="6" t="inlineStr">
        <is>
          <t>天赋怎么提高：每次真实跑步获得 RP（跑步积分）——前 5 km 每 km {a} RP，5–10 km 每 km {b} RP，单日最多 {c} RP。累计 RP 达到 {t1} / {t2} / {t3} 自动解锁一 / 二 / 三档公会天赋，全部装置效果 +{p1}% / +{p2}% / +{p3}%。按每周跑 4 次、每次 4.5 km 计算，大约 1 周、3 周、7 周解锁。</t>
        </is>
      </c>
      <c r="B206" s="8" t="inlineStr">
        <is>
          <t>天赋怎么提高：每次真实跑步获得 RP（跑步积分）——前 5 km 每 km {a} RP，5–10 km 每 km {b} RP，单日最多 {c} RP。累计 RP 达到 {t1} / {t2} / {t3} 自动解锁一 / 二 / 三档公会天赋，全部装置效果 +{p1}% / +{p2}% / +{p3}%。按每周跑 4 次、每次 4.5 km 计算，大约 1 周、3 周、7 周解锁。</t>
        </is>
      </c>
      <c r="C206" s="8" t="inlineStr">
        <is>
          <t>How to raise your talent: every real run earns RP (Run Points) — {a} RP per km for the first 5 km, {b} RP per km from 5 to 10 km, up to {c} RP a day. Reaching {t1} / {t2} / {t3} total RP unlocks guild talent tier 1 / 2 / 3: all devices +{p1}% / +{p2}% / +{p3}% effect. Running 4 times a week at 4.5 km each, that takes about 1, 3 and 7 weeks.</t>
        </is>
      </c>
      <c r="D206" s="8" t="inlineStr">
        <is>
          <t>Comment monter ton talent : chaque vraie course rapporte des RP (points de course) — {a} RP par km sur les 5 premiers km, {b} RP par km de 5 à 10 km, {c} RP max par jour. À {t1} / {t2} / {t3} RP cumulés, tu débloques le palier 1 / 2 / 3 du talent de guilde : tous les dispositifs +{p1} % / +{p2} % / +{p3} % d’effet. En courant 4 fois par semaine 4,5 km, comptez environ 1, 3 et 7 semaines.</t>
        </is>
      </c>
    </row>
    <row r="207">
      <c r="A207" s="6" t="inlineStr">
        <is>
          <t>当前跑步加成：装置效果 +{n}%</t>
        </is>
      </c>
      <c r="B207" s="8" t="inlineStr">
        <is>
          <t>当前跑步加成：装置效果 +{n}%</t>
        </is>
      </c>
      <c r="C207" s="8" t="inlineStr">
        <is>
          <t>Current running boost: devices +{n}%</t>
        </is>
      </c>
      <c r="D207" s="8" t="inlineStr">
        <is>
          <t>Bonus de course actuel : dispositifs +{n} %</t>
        </is>
      </c>
    </row>
    <row r="208">
      <c r="A208" s="6" t="inlineStr">
        <is>
          <t>跑步加成 +{n}%</t>
        </is>
      </c>
      <c r="B208" s="8" t="inlineStr">
        <is>
          <t>跑步加成 +{n}%</t>
        </is>
      </c>
      <c r="C208" s="8" t="inlineStr">
        <is>
          <t>Running boost +{n}%</t>
        </is>
      </c>
      <c r="D208" s="8" t="inlineStr">
        <is>
          <t>Bonus de course +{n} %</t>
        </is>
      </c>
    </row>
    <row r="209">
      <c r="A209" s="6" t="inlineStr">
        <is>
          <t>点跑道旁的石台放置装置，再点「开始第 1 波」</t>
        </is>
      </c>
      <c r="B209" s="8" t="inlineStr">
        <is>
          <t>点跑道旁的石台放置装置，再点「开始第 1 波」</t>
        </is>
      </c>
      <c r="C209" s="8" t="inlineStr">
        <is>
          <t>Tap a stone pad beside the track to place a device, then press “Start wave 1”</t>
        </is>
      </c>
      <c r="D209" s="8" t="inlineStr">
        <is>
          <t>Touchez un socle près de la piste pour poser un dispositif, puis « Lancer la vague 1 »</t>
        </is>
      </c>
    </row>
    <row r="210">
      <c r="A210" s="6" t="inlineStr">
        <is>
          <t>出手间隔 −15%</t>
        </is>
      </c>
      <c r="B210" s="8" t="inlineStr">
        <is>
          <t>出手间隔 −15%</t>
        </is>
      </c>
      <c r="C210" s="8" t="inlineStr">
        <is>
          <t>Interval −15%</t>
        </is>
      </c>
      <c r="D210" s="8" t="inlineStr">
        <is>
          <t>Intervalle −15 %</t>
        </is>
      </c>
    </row>
    <row r="211">
      <c r="A211" s="6" t="inlineStr">
        <is>
          <t>下一级：{x}</t>
        </is>
      </c>
      <c r="B211" s="8" t="inlineStr">
        <is>
          <t>下一级：{x}</t>
        </is>
      </c>
      <c r="C211" s="8" t="inlineStr">
        <is>
          <t>Next: {x}</t>
        </is>
      </c>
      <c r="D211" s="8" t="inlineStr">
        <is>
          <t>Suivant : {x}</t>
        </is>
      </c>
    </row>
    <row r="212">
      <c r="A212" s="6" t="inlineStr">
        <is>
          <t>这里不能放</t>
        </is>
      </c>
      <c r="B212" s="8" t="inlineStr">
        <is>
          <t>这里不能放</t>
        </is>
      </c>
      <c r="C212" s="8" t="inlineStr">
        <is>
          <t>Can’t place here</t>
        </is>
      </c>
      <c r="D212" s="8" t="inlineStr">
        <is>
          <t>Impossible ici</t>
        </is>
      </c>
    </row>
    <row r="213">
      <c r="A213" s="6" t="inlineStr">
        <is>
          <t>取消放置</t>
        </is>
      </c>
      <c r="B213" s="8" t="inlineStr">
        <is>
          <t>取消放置</t>
        </is>
      </c>
      <c r="C213" s="8" t="inlineStr">
        <is>
          <t>Cancel placing</t>
        </is>
      </c>
      <c r="D213" s="8" t="inlineStr">
        <is>
          <t>Annuler</t>
        </is>
      </c>
    </row>
    <row r="214">
      <c r="A214" s="6" t="inlineStr">
        <is>
          <t>＋ 放置点 ×{n}</t>
        </is>
      </c>
      <c r="B214" s="8" t="inlineStr">
        <is>
          <t>＋ 放置点 ×{n}</t>
        </is>
      </c>
      <c r="C214" s="8" t="inlineStr">
        <is>
          <t>+ Spot ×{n}</t>
        </is>
      </c>
      <c r="D214" s="8" t="inlineStr">
        <is>
          <t>+ Emplacement ×{n}</t>
        </is>
      </c>
    </row>
    <row r="215">
      <c r="A215" s="6" t="inlineStr">
        <is>
          <t>点跑道外的空地，新增一个放置点</t>
        </is>
      </c>
      <c r="B215" s="8" t="inlineStr">
        <is>
          <t>点跑道外的空地，新增一个放置点</t>
        </is>
      </c>
      <c r="C215" s="8" t="inlineStr">
        <is>
          <t>Tap open ground off the track to add a spot</t>
        </is>
      </c>
      <c r="D215" s="8" t="inlineStr">
        <is>
          <t>Touche un terrain libre hors piste pour ajouter un emplacement</t>
        </is>
      </c>
    </row>
    <row r="216">
      <c r="A216" s="6" t="inlineStr">
        <is>
          <t>聪</t>
        </is>
      </c>
      <c r="B216" s="8" t="inlineStr">
        <is>
          <t>聪</t>
        </is>
      </c>
      <c r="C216" s="8" t="inlineStr">
        <is>
          <t>sats</t>
        </is>
      </c>
      <c r="D216" s="8" t="inlineStr">
        <is>
          <t>sats</t>
        </is>
      </c>
    </row>
    <row r="217">
      <c r="A217" s="6" t="inlineStr">
        <is>
          <t>创世纪 · 2008–2010</t>
        </is>
      </c>
      <c r="B217" s="8" t="inlineStr">
        <is>
          <t>创世纪 · 2008–2010</t>
        </is>
      </c>
      <c r="C217" s="8" t="inlineStr">
        <is>
          <t>Genesis · 2008–2010</t>
        </is>
      </c>
      <c r="D217" s="8" t="inlineStr">
        <is>
          <t>Genèse · 2008–2010</t>
        </is>
      </c>
    </row>
    <row r="218">
      <c r="A218" s="6" t="inlineStr">
        <is>
          <t>组合</t>
        </is>
      </c>
      <c r="B218" s="8" t="inlineStr">
        <is>
          <t>组合</t>
        </is>
      </c>
      <c r="C218" s="8" t="inlineStr">
        <is>
          <t>Combos</t>
        </is>
      </c>
      <c r="D218" s="8" t="inlineStr">
        <is>
          <t>Combos</t>
        </is>
      </c>
    </row>
    <row r="219">
      <c r="A219" s="6" t="inlineStr">
        <is>
          <t>重试</t>
        </is>
      </c>
      <c r="B219" s="8" t="inlineStr">
        <is>
          <t>重试</t>
        </is>
      </c>
      <c r="C219" s="8" t="inlineStr">
        <is>
          <t>Retry</t>
        </is>
      </c>
      <c r="D219" s="8" t="inlineStr">
        <is>
          <t>Réessayer</t>
        </is>
      </c>
    </row>
    <row r="220">
      <c r="A220" s="6" t="inlineStr">
        <is>
          <t>STEPN 跑者掉进区块链时光隧道，跟着比特币走过最初的三年。</t>
        </is>
      </c>
      <c r="B220" s="8" t="inlineStr">
        <is>
          <t>STEPN 跑者掉进区块链时光隧道，跟着比特币走过最初的三年。</t>
        </is>
      </c>
      <c r="C220" s="8" t="inlineStr">
        <is>
          <t>A STEPN runner falls into a blockchain time tunnel and lives through bitcoin’s first three years.</t>
        </is>
      </c>
      <c r="D220" s="8" t="inlineStr">
        <is>
          <t>Un coureur STEPN tombe dans un tunnel temporel blockchain et vit les trois premières années du bitcoin.</t>
        </is>
      </c>
    </row>
    <row r="221">
      <c r="A221" s="6" t="inlineStr">
        <is>
          <t>累计积分 {n}</t>
        </is>
      </c>
      <c r="B221" s="8" t="inlineStr">
        <is>
          <t>累计积分 {n}</t>
        </is>
      </c>
      <c r="C221" s="8" t="inlineStr">
        <is>
          <t>Points: {n}</t>
        </is>
      </c>
      <c r="D221" s="8" t="inlineStr">
        <is>
          <t>Points : {n}</t>
        </is>
      </c>
    </row>
    <row r="222">
      <c r="A222" s="6" t="inlineStr">
        <is>
          <t>剧情中…</t>
        </is>
      </c>
      <c r="B222" s="8" t="inlineStr">
        <is>
          <t>剧情中…</t>
        </is>
      </c>
      <c r="C222" s="8" t="inlineStr">
        <is>
          <t>Story…</t>
        </is>
      </c>
      <c r="D222" s="8" t="inlineStr">
        <is>
          <t>Histoire…</t>
        </is>
      </c>
    </row>
    <row r="223">
      <c r="A223" s="6" t="inlineStr">
        <is>
          <t>关卡完成</t>
        </is>
      </c>
      <c r="B223" s="8" t="inlineStr">
        <is>
          <t>关卡完成</t>
        </is>
      </c>
      <c r="C223" s="8" t="inlineStr">
        <is>
          <t>Level complete</t>
        </is>
      </c>
      <c r="D223" s="8" t="inlineStr">
        <is>
          <t>Niveau terminé</t>
        </is>
      </c>
    </row>
    <row r="224">
      <c r="A224" s="6" t="inlineStr">
        <is>
          <t>再玩一次</t>
        </is>
      </c>
      <c r="B224" s="8" t="inlineStr">
        <is>
          <t>再玩一次</t>
        </is>
      </c>
      <c r="C224" s="8" t="inlineStr">
        <is>
          <t>Play again</t>
        </is>
      </c>
      <c r="D224" s="8" t="inlineStr">
        <is>
          <t>Rejouer</t>
        </is>
      </c>
    </row>
    <row r="225">
      <c r="A225" s="6" t="inlineStr">
        <is>
          <t>章节地图</t>
        </is>
      </c>
      <c r="B225" s="8" t="inlineStr">
        <is>
          <t>章节地图</t>
        </is>
      </c>
      <c r="C225" s="8" t="inlineStr">
        <is>
          <t>Chapter map</t>
        </is>
      </c>
      <c r="D225" s="8" t="inlineStr">
        <is>
          <t>Carte du chapitre</t>
        </is>
      </c>
    </row>
    <row r="226">
      <c r="A226" s="6" t="inlineStr">
        <is>
          <t>第二章 · 敬请期待</t>
        </is>
      </c>
      <c r="B226" s="8" t="inlineStr">
        <is>
          <t>第二章 · 敬请期待</t>
        </is>
      </c>
      <c r="C226" s="8" t="inlineStr">
        <is>
          <t>Chapter 2 · coming soon</t>
        </is>
      </c>
      <c r="D226" s="8" t="inlineStr">
        <is>
          <t>Chapitre 2 · bientôt</t>
        </is>
      </c>
    </row>
    <row r="227">
      <c r="A227" s="6" t="inlineStr">
        <is>
          <t>图鉴</t>
        </is>
      </c>
      <c r="B227" s="8" t="inlineStr">
        <is>
          <t>图鉴</t>
        </is>
      </c>
      <c r="C227" s="8" t="inlineStr">
        <is>
          <t>Codex</t>
        </is>
      </c>
      <c r="D227" s="8" t="inlineStr">
        <is>
          <t>Codex</t>
        </is>
      </c>
    </row>
    <row r="228">
      <c r="A228" s="6" t="inlineStr">
        <is>
          <t>区块高度</t>
        </is>
      </c>
      <c r="B228" s="8" t="inlineStr">
        <is>
          <t>区块高度</t>
        </is>
      </c>
      <c r="C228" s="8" t="inlineStr">
        <is>
          <t>Block height</t>
        </is>
      </c>
      <c r="D228" s="8" t="inlineStr">
        <is>
          <t>Hauteur</t>
        </is>
      </c>
    </row>
    <row r="229">
      <c r="A229" s="6" t="inlineStr">
        <is>
          <t>区块奖励：选一个，比赛马上继续。</t>
        </is>
      </c>
      <c r="B229" s="8" t="inlineStr">
        <is>
          <t>区块奖励：选一个，比赛马上继续。</t>
        </is>
      </c>
      <c r="C229" s="8" t="inlineStr">
        <is>
          <t>Block reward: pick one and the race resumes.</t>
        </is>
      </c>
      <c r="D229" s="8" t="inlineStr">
        <is>
          <t>Récompense de bloc : choisis-en une et la course reprend.</t>
        </is>
      </c>
    </row>
    <row r="230">
      <c r="A230" s="6" t="inlineStr">
        <is>
          <t>选择关卡</t>
        </is>
      </c>
      <c r="B230" s="8" t="inlineStr">
        <is>
          <t>选择关卡</t>
        </is>
      </c>
      <c r="C230" s="8" t="inlineStr">
        <is>
          <t>Choose a level</t>
        </is>
      </c>
      <c r="D230" s="8" t="inlineStr">
        <is>
          <t>Choisir un niveau</t>
        </is>
      </c>
    </row>
    <row r="231">
      <c r="A231" s="6" t="inlineStr">
        <is>
          <t>这关还没打出组合，试试把两种状态叠在同一个跑者身上。</t>
        </is>
      </c>
      <c r="B231" s="8" t="inlineStr">
        <is>
          <t>这关还没打出组合，试试把两种状态叠在同一个跑者身上。</t>
        </is>
      </c>
      <c r="C231" s="8" t="inlineStr">
        <is>
          <t>No combos this time. Try stacking two statuses on the same runner.</t>
        </is>
      </c>
      <c r="D231" s="8" t="inlineStr">
        <is>
          <t>Aucun combo cette fois. Essaie de cumuler deux états sur le même coureur.</t>
        </is>
      </c>
    </row>
    <row r="232">
      <c r="A232" s="6" t="inlineStr">
        <is>
          <t>快捷键：空格 开波 · F 切换速度 · 1–7 建造 · Q/W/E 升级 · X 回收 · Esc 取消</t>
        </is>
      </c>
      <c r="B232" s="8" t="inlineStr">
        <is>
          <t>快捷键：空格 开波 · F 切换速度 · 1–7 建造 · Q/W/E 升级 · X 回收 · Esc 取消</t>
        </is>
      </c>
      <c r="C232" s="8" t="inlineStr">
        <is>
          <t>Keys: Space start wave · F speed · 1–7 build · Q/W/E upgrade · X recycle · Esc cancel</t>
        </is>
      </c>
      <c r="D232" s="8" t="inlineStr">
        <is>
          <t>Touches : Espace vague · F vitesse · 1–7 construire · Q/W/E améliorer · X recycler · Échap annuler</t>
        </is>
      </c>
    </row>
    <row r="233">
      <c r="A233" s="6" t="inlineStr">
        <is>
          <t>一万枚换两个披萨！</t>
        </is>
      </c>
      <c r="B233" s="8" t="inlineStr">
        <is>
          <t>一万枚换两个披萨！</t>
        </is>
      </c>
      <c r="C233" s="8" t="inlineStr">
        <is>
          <t>10,000 coins for two pizzas!</t>
        </is>
      </c>
      <c r="D233" s="8" t="inlineStr">
        <is>
          <t>10 000 pièces pour deux pizzas !</t>
        </is>
      </c>
    </row>
    <row r="234">
      <c r="A234" s="6" t="inlineStr">
        <is>
          <t>知识卡</t>
        </is>
      </c>
      <c r="B234" s="8" t="inlineStr">
        <is>
          <t>知识卡</t>
        </is>
      </c>
      <c r="C234" s="8" t="inlineStr">
        <is>
          <t>Knowledge</t>
        </is>
      </c>
      <c r="D234" s="8" t="inlineStr">
        <is>
          <t>Savoir</t>
        </is>
      </c>
    </row>
    <row r="235">
      <c r="A235" s="6" t="inlineStr">
        <is>
          <t>新组合：{x}！</t>
        </is>
      </c>
      <c r="B235" s="8" t="inlineStr">
        <is>
          <t>新组合：{x}！</t>
        </is>
      </c>
      <c r="C235" s="8" t="inlineStr">
        <is>
          <t>New combo: {x}!</t>
        </is>
      </c>
      <c r="D235" s="8" t="inlineStr">
        <is>
          <t>Nouveau combo : {x} !</t>
        </is>
      </c>
    </row>
    <row r="236">
      <c r="A236" s="6" t="inlineStr">
        <is>
          <t>下一关</t>
        </is>
      </c>
      <c r="B236" s="8" t="inlineStr">
        <is>
          <t>下一关</t>
        </is>
      </c>
      <c r="C236" s="8" t="inlineStr">
        <is>
          <t>Next level</t>
        </is>
      </c>
      <c r="D236" s="8" t="inlineStr">
        <is>
          <t>Niveau suivant</t>
        </is>
      </c>
    </row>
    <row r="237">
      <c r="A237" s="6" t="inlineStr">
        <is>
          <t>{n}× 速度</t>
        </is>
      </c>
      <c r="B237" s="8" t="inlineStr">
        <is>
          <t>{n}× 速度</t>
        </is>
      </c>
      <c r="C237" s="8" t="inlineStr">
        <is>
          <t>{n}× speed</t>
        </is>
      </c>
      <c r="D237" s="8" t="inlineStr">
        <is>
          <t>Vitesse ×{n}</t>
        </is>
      </c>
    </row>
    <row r="238">
      <c r="A238" s="6" t="inlineStr">
        <is>
          <t>区块 #{h} 被别的矿工抢先挖到了</t>
        </is>
      </c>
      <c r="B238" s="8" t="inlineStr">
        <is>
          <t>区块 #{h} 被别的矿工抢先挖到了</t>
        </is>
      </c>
      <c r="C238" s="8" t="inlineStr">
        <is>
          <t>Block #{h} went to another miner</t>
        </is>
      </c>
      <c r="D238" s="8" t="inlineStr">
        <is>
          <t>Le bloc #{h} est allé à un autre mineur</t>
        </is>
      </c>
    </row>
    <row r="239">
      <c r="A239" s="6" t="inlineStr">
        <is>
          <t>挖到区块</t>
        </is>
      </c>
      <c r="B239" s="8" t="inlineStr">
        <is>
          <t>挖到区块</t>
        </is>
      </c>
      <c r="C239" s="8" t="inlineStr">
        <is>
          <t>Blocks mined</t>
        </is>
      </c>
      <c r="D239" s="8" t="inlineStr">
        <is>
          <t>Blocs minés</t>
        </is>
      </c>
    </row>
    <row r="240">
      <c r="A240" s="6" t="inlineStr">
        <is>
          <t>本关触发的组合</t>
        </is>
      </c>
      <c r="B240" s="8" t="inlineStr">
        <is>
          <t>本关触发的组合</t>
        </is>
      </c>
      <c r="C240" s="8" t="inlineStr">
        <is>
          <t>Combos this level</t>
        </is>
      </c>
      <c r="D240" s="8" t="inlineStr">
        <is>
          <t>Combos de ce niveau</t>
        </is>
      </c>
    </row>
    <row r="241">
      <c r="A241" s="6" t="inlineStr">
        <is>
          <t>组合：{x}</t>
        </is>
      </c>
      <c r="B241" s="8" t="inlineStr">
        <is>
          <t>组合：{x}</t>
        </is>
      </c>
      <c r="C241" s="8" t="inlineStr">
        <is>
          <t>Combos: {x}</t>
        </is>
      </c>
      <c r="D241" s="8" t="inlineStr">
        <is>
          <t>Combos : {x}</t>
        </is>
      </c>
    </row>
    <row r="242">
      <c r="A242" s="6" t="inlineStr">
        <is>
          <t>修复版本上线，溢出的币被回滚</t>
        </is>
      </c>
      <c r="B242" s="8" t="inlineStr">
        <is>
          <t>修复版本上线，溢出的币被回滚</t>
        </is>
      </c>
      <c r="C242" s="8" t="inlineStr">
        <is>
          <t>The fix is live; the overflowed coins are rolled back</t>
        </is>
      </c>
      <c r="D242" s="8" t="inlineStr">
        <is>
          <t>Le correctif est en ligne ; les pièces en trop sont annulées</t>
        </is>
      </c>
    </row>
    <row r="243">
      <c r="A243" s="6" t="inlineStr">
        <is>
          <t>还没触发过。试试把这两种状态叠在同一个跑者身上。</t>
        </is>
      </c>
      <c r="B243" s="8" t="inlineStr">
        <is>
          <t>还没触发过。试试把这两种状态叠在同一个跑者身上。</t>
        </is>
      </c>
      <c r="C243" s="8" t="inlineStr">
        <is>
          <t>Not triggered yet. Try stacking these two statuses on one runner.</t>
        </is>
      </c>
      <c r="D243" s="8" t="inlineStr">
        <is>
          <t>Pas encore déclenché. Cumule ces deux états sur un coureur.</t>
        </is>
      </c>
    </row>
    <row r="244">
      <c r="A244" s="6" t="inlineStr">
        <is>
          <t>出块！#{h}</t>
        </is>
      </c>
      <c r="B244" s="8" t="inlineStr">
        <is>
          <t>出块！#{h}</t>
        </is>
      </c>
      <c r="C244" s="8" t="inlineStr">
        <is>
          <t>Block! #{h}</t>
        </is>
      </c>
      <c r="D244" s="8" t="inlineStr">
        <is>
          <t>Bloc ! #{h}</t>
        </is>
      </c>
    </row>
    <row r="245">
      <c r="A245" s="6" t="inlineStr">
        <is>
          <t>挖到区块 #{h}！</t>
        </is>
      </c>
      <c r="B245" s="8" t="inlineStr">
        <is>
          <t>挖到区块 #{h}！</t>
        </is>
      </c>
      <c r="C245" s="8" t="inlineStr">
        <is>
          <t>Mined block #{h}!</t>
        </is>
      </c>
      <c r="D245" s="8" t="inlineStr">
        <is>
          <t>Bloc #{h} miné !</t>
        </is>
      </c>
    </row>
    <row r="246">
      <c r="A246" s="6" t="inlineStr">
        <is>
          <t>披萨跑者冲出来了</t>
        </is>
      </c>
      <c r="B246" s="8" t="inlineStr">
        <is>
          <t>披萨跑者冲出来了</t>
        </is>
      </c>
      <c r="C246" s="8" t="inlineStr">
        <is>
          <t>Pizza runners incoming</t>
        </is>
      </c>
      <c r="D246" s="8" t="inlineStr">
        <is>
          <t>Les coureurs-pizza arrivent</t>
        </is>
      </c>
    </row>
    <row r="247">
      <c r="A247" s="6" t="inlineStr">
        <is>
          <t>重抽 · {n} 聪</t>
        </is>
      </c>
      <c r="B247" s="8" t="inlineStr">
        <is>
          <t>重抽 · {n} 聪</t>
        </is>
      </c>
      <c r="C247" s="8" t="inlineStr">
        <is>
          <t>Reroll · {n} sats</t>
        </is>
      </c>
      <c r="D247" s="8" t="inlineStr">
        <is>
          <t>Relancer · {n} sats</t>
        </is>
      </c>
    </row>
    <row r="248">
      <c r="A248" s="6" t="inlineStr">
        <is>
          <t>继续 ▶</t>
        </is>
      </c>
      <c r="B248" s="8" t="inlineStr">
        <is>
          <t>继续 ▶</t>
        </is>
      </c>
      <c r="C248" s="8" t="inlineStr">
        <is>
          <t>Next ▶</t>
        </is>
      </c>
      <c r="D248" s="8" t="inlineStr">
        <is>
          <t>Suite ▶</t>
        </is>
      </c>
    </row>
    <row r="249">
      <c r="A249" s="6" t="inlineStr">
        <is>
          <t>收入图鉴</t>
        </is>
      </c>
      <c r="B249" s="8" t="inlineStr">
        <is>
          <t>收入图鉴</t>
        </is>
      </c>
      <c r="C249" s="8" t="inlineStr">
        <is>
          <t>Add to codex</t>
        </is>
      </c>
      <c r="D249" s="8" t="inlineStr">
        <is>
          <t>Ajouter au codex</t>
        </is>
      </c>
    </row>
    <row r="250">
      <c r="A250" s="6" t="inlineStr">
        <is>
          <t>返回章节地图</t>
        </is>
      </c>
      <c r="B250" s="8" t="inlineStr">
        <is>
          <t>返回章节地图</t>
        </is>
      </c>
      <c r="C250" s="8" t="inlineStr">
        <is>
          <t>Back to chapter map</t>
        </is>
      </c>
      <c r="D250" s="8" t="inlineStr">
        <is>
          <t>Retour à la carte</t>
        </is>
      </c>
    </row>
    <row r="251">
      <c r="A251" s="6" t="inlineStr">
        <is>
          <t>跳过</t>
        </is>
      </c>
      <c r="B251" s="8" t="inlineStr">
        <is>
          <t>跳过</t>
        </is>
      </c>
      <c r="C251" s="8" t="inlineStr">
        <is>
          <t>Skip</t>
        </is>
      </c>
      <c r="D251" s="8" t="inlineStr">
        <is>
          <t>Passer</t>
        </is>
      </c>
    </row>
    <row r="252">
      <c r="A252" s="6" t="inlineStr">
        <is>
          <t>经典模式</t>
        </is>
      </c>
      <c r="B252" s="8" t="inlineStr">
        <is>
          <t>经典模式</t>
        </is>
      </c>
      <c r="C252" s="8" t="inlineStr">
        <is>
          <t>Classic mode</t>
        </is>
      </c>
      <c r="D252" s="8" t="inlineStr">
        <is>
          <t>Mode classique</t>
        </is>
      </c>
    </row>
    <row r="253">
      <c r="A253" s="6" t="inlineStr">
        <is>
          <t>开始！</t>
        </is>
      </c>
      <c r="B253" s="8" t="inlineStr">
        <is>
          <t>开始！</t>
        </is>
      </c>
      <c r="C253" s="8" t="inlineStr">
        <is>
          <t>Go!</t>
        </is>
      </c>
      <c r="D253" s="8" t="inlineStr">
        <is>
          <t>C’est parti !</t>
        </is>
      </c>
    </row>
    <row r="254">
      <c r="A254" s="6" t="inlineStr">
        <is>
          <t>算力 {h} · 出块奖励 +{b}%</t>
        </is>
      </c>
      <c r="B254" s="8" t="inlineStr">
        <is>
          <t>算力 {h} · 出块奖励 +{b}%</t>
        </is>
      </c>
      <c r="C254" s="8" t="inlineStr">
        <is>
          <t>Hash {h} · block reward +{b}%</t>
        </is>
      </c>
      <c r="D254" s="8" t="inlineStr">
        <is>
          <t>Puissance {h} · récompense +{b} %</t>
        </is>
      </c>
    </row>
    <row r="255">
      <c r="A255" s="6" t="inlineStr">
        <is>
          <t>全网每隔十几秒出一个区块，你的算力占全网的比例，就是抢到它的几率。挖到区块：得聪，再开一次三选一。</t>
        </is>
      </c>
      <c r="B255" s="8" t="inlineStr">
        <is>
          <t>全网每隔十几秒出一个区块，你的算力占全网的比例，就是抢到它的几率。挖到区块：得聪，再开一次三选一。</t>
        </is>
      </c>
      <c r="C255" s="8" t="inlineStr">
        <is>
          <t>The network makes a block every dozen seconds or so. Your share of total hash power is your chance of winning it. Win a block: sats plus a pick-one-of-three.</t>
        </is>
      </c>
      <c r="D255" s="8" t="inlineStr">
        <is>
          <t>Le réseau produit un bloc toutes les quinze secondes environ. Ta part de la puissance totale est ta chance de le gagner. Bloc gagné : des sats et un choix parmi trois.</t>
        </is>
      </c>
    </row>
    <row r="256">
      <c r="A256" s="6" t="inlineStr">
        <is>
          <t>出块几率</t>
        </is>
      </c>
      <c r="B256" s="8" t="inlineStr">
        <is>
          <t>出块几率</t>
        </is>
      </c>
      <c r="C256" s="8" t="inlineStr">
        <is>
          <t>Win chance</t>
        </is>
      </c>
      <c r="D256" s="8" t="inlineStr">
        <is>
          <t>Chance</t>
        </is>
      </c>
    </row>
    <row r="257">
      <c r="A257" s="6" t="inlineStr">
        <is>
          <t>软分叉！</t>
        </is>
      </c>
      <c r="B257" s="8" t="inlineStr">
        <is>
          <t>软分叉！</t>
        </is>
      </c>
      <c r="C257" s="8" t="inlineStr">
        <is>
          <t>Soft fork!</t>
        </is>
      </c>
      <c r="D257" s="8" t="inlineStr">
        <is>
          <t>Soft fork !</t>
        </is>
      </c>
    </row>
    <row r="258">
      <c r="A258" s="6" t="inlineStr">
        <is>
          <t>原型阶段的链下积分，没有任何实际价值</t>
        </is>
      </c>
      <c r="B258" s="8" t="inlineStr">
        <is>
          <t>原型阶段的链下积分，没有任何实际价值</t>
        </is>
      </c>
      <c r="C258" s="8" t="inlineStr">
        <is>
          <t>off-chain prototype points with no real-world value</t>
        </is>
      </c>
      <c r="D258" s="8" t="inlineStr">
        <is>
          <t>points hors chaîne du prototype, sans valeur réelle</t>
        </is>
      </c>
    </row>
    <row r="259">
      <c r="A259" s="6" t="inlineStr">
        <is>
          <t>你的算力</t>
        </is>
      </c>
      <c r="B259" s="8" t="inlineStr">
        <is>
          <t>你的算力</t>
        </is>
      </c>
      <c r="C259" s="8" t="inlineStr">
        <is>
          <t>Your hash</t>
        </is>
      </c>
      <c r="D259" s="8" t="inlineStr">
        <is>
          <t>Ta puissance</t>
        </is>
      </c>
    </row>
    <row r="260">
      <c r="A260" s="6" t="inlineStr">
        <is>
          <t>挖到的聪</t>
        </is>
      </c>
      <c r="B260" s="8" t="inlineStr">
        <is>
          <t>挖到的聪</t>
        </is>
      </c>
      <c r="C260" s="8" t="inlineStr">
        <is>
          <t>Sats mined</t>
        </is>
      </c>
      <c r="D260" s="8" t="inlineStr">
        <is>
          <t>Sats minés</t>
        </is>
      </c>
    </row>
    <row r="261">
      <c r="A261" s="6" t="inlineStr">
        <is>
          <t>全网算力</t>
        </is>
      </c>
      <c r="B261" s="8" t="inlineStr">
        <is>
          <t>全网算力</t>
        </is>
      </c>
      <c r="C261" s="8" t="inlineStr">
        <is>
          <t>Network hash</t>
        </is>
      </c>
      <c r="D261" s="8" t="inlineStr">
        <is>
          <t>Puissance réseau</t>
        </is>
      </c>
    </row>
    <row r="262">
      <c r="A262" s="6" t="inlineStr">
        <is>
          <t>已挖到</t>
        </is>
      </c>
      <c r="B262" s="8" t="inlineStr">
        <is>
          <t>已挖到</t>
        </is>
      </c>
      <c r="C262" s="8" t="inlineStr">
        <is>
          <t>Won</t>
        </is>
      </c>
      <c r="D262" s="8" t="inlineStr">
        <is>
          <t>Gagnés</t>
        </is>
      </c>
    </row>
    <row r="263">
      <c r="A263" s="6" t="inlineStr">
        <is>
          <t>下个区块</t>
        </is>
      </c>
      <c r="B263" s="8" t="inlineStr">
        <is>
          <t>下个区块</t>
        </is>
      </c>
      <c r="C263" s="8" t="inlineStr">
        <is>
          <t>Next block</t>
        </is>
      </c>
      <c r="D263" s="8" t="inlineStr">
        <is>
          <t>Prochain bloc</t>
        </is>
      </c>
    </row>
    <row r="264">
      <c r="A264" s="6" t="inlineStr">
        <is>
          <t>剩余生命</t>
        </is>
      </c>
      <c r="B264" s="8" t="inlineStr">
        <is>
          <t>剩余生命</t>
        </is>
      </c>
      <c r="C264" s="8" t="inlineStr">
        <is>
          <t>Lives left</t>
        </is>
      </c>
      <c r="D264" s="8" t="inlineStr">
        <is>
          <t>Vies restantes</t>
        </is>
      </c>
    </row>
    <row r="265">
      <c r="A265" s="6" t="inlineStr">
        <is>
          <t>快捷键 Q / W / E 升级，X 回收</t>
        </is>
      </c>
      <c r="B265" s="8" t="inlineStr">
        <is>
          <t>快捷键 Q / W / E 升级，X 回收</t>
        </is>
      </c>
      <c r="C265" s="8" t="inlineStr">
        <is>
          <t>Keys Q / W / E upgrade, X recycles</t>
        </is>
      </c>
      <c r="D265" s="8" t="inlineStr">
        <is>
          <t>Touches Q / W / E améliorer, X recycler</t>
        </is>
      </c>
    </row>
    <row r="266">
      <c r="A266" s="6" t="inlineStr">
        <is>
          <t>整数溢出！</t>
        </is>
      </c>
      <c r="B266" s="8" t="inlineStr">
        <is>
          <t>整数溢出！</t>
        </is>
      </c>
      <c r="C266" s="8" t="inlineStr">
        <is>
          <t>Integer overflow!</t>
        </is>
      </c>
      <c r="D266" s="8" t="inlineStr">
        <is>
          <t>Dépassement d’entier !</t>
        </is>
      </c>
    </row>
    <row r="267">
      <c r="A267" s="6" t="inlineStr">
        <is>
          <t>第一章</t>
        </is>
      </c>
      <c r="B267" s="8" t="inlineStr">
        <is>
          <t>第一章</t>
        </is>
      </c>
      <c r="C267" s="8" t="inlineStr">
        <is>
          <t>Chapter 1</t>
        </is>
      </c>
      <c r="D267" s="8" t="inlineStr">
        <is>
          <t>Chapitre 1</t>
        </is>
      </c>
    </row>
    <row r="268">
      <c r="A268" s="6" t="inlineStr">
        <is>
          <t>通关「{x}」解锁</t>
        </is>
      </c>
      <c r="B268" s="8" t="inlineStr">
        <is>
          <t>通关「{x}」解锁</t>
        </is>
      </c>
      <c r="C268" s="8" t="inlineStr">
        <is>
          <t>Clear “{x}” to unlock</t>
        </is>
      </c>
      <c r="D268" s="8" t="inlineStr">
        <is>
          <t>Termine « {x} » pour débloquer</t>
        </is>
      </c>
    </row>
    <row r="269">
      <c r="A269" s="6" t="inlineStr">
        <is>
          <t>挂上：{x}</t>
        </is>
      </c>
      <c r="B269" s="8" t="inlineStr">
        <is>
          <t>挂上：{x}</t>
        </is>
      </c>
      <c r="C269" s="8" t="inlineStr">
        <is>
          <t>Applies: {x}</t>
        </is>
      </c>
      <c r="D269" s="8" t="inlineStr">
        <is>
          <t>Applique : {x}</t>
        </is>
      </c>
    </row>
    <row r="270">
      <c r="A270" s="6" t="inlineStr">
        <is>
          <t>难度调整：全网算力 +{n}%</t>
        </is>
      </c>
      <c r="B270" s="8" t="inlineStr">
        <is>
          <t>难度调整：全网算力 +{n}%</t>
        </is>
      </c>
      <c r="C270" s="8" t="inlineStr">
        <is>
          <t>Difficulty adjustment: network hash +{n}%</t>
        </is>
      </c>
      <c r="D270" s="8" t="inlineStr">
        <is>
          <t>Ajustement de difficulté : puissance réseau +{n} %</t>
        </is>
      </c>
    </row>
    <row r="271">
      <c r="A271" s="6" t="inlineStr">
        <is>
          <t>新知识卡</t>
        </is>
      </c>
      <c r="B271" s="8" t="inlineStr">
        <is>
          <t>新知识卡</t>
        </is>
      </c>
      <c r="C271" s="8" t="inlineStr">
        <is>
          <t>New knowledge card</t>
        </is>
      </c>
      <c r="D271" s="8" t="inlineStr">
        <is>
          <t>Nouvelle carte savoir</t>
        </is>
      </c>
    </row>
    <row r="272">
      <c r="A272" s="6" t="inlineStr">
        <is>
          <t>⛏ 挖矿</t>
        </is>
      </c>
      <c r="B272" s="8" t="inlineStr">
        <is>
          <t>⛏ 挖矿</t>
        </is>
      </c>
      <c r="C272" s="8" t="inlineStr">
        <is>
          <t>⛏ Mining</t>
        </is>
      </c>
      <c r="D272" s="8" t="inlineStr">
        <is>
          <t>⛏ Minage</t>
        </is>
      </c>
    </row>
    <row r="273">
      <c r="A273" s="6" t="inlineStr">
        <is>
          <t>获得积分</t>
        </is>
      </c>
      <c r="B273" s="8" t="inlineStr">
        <is>
          <t>获得积分</t>
        </is>
      </c>
      <c r="C273" s="8" t="inlineStr">
        <is>
          <t>Points earned</t>
        </is>
      </c>
      <c r="D273" s="8" t="inlineStr">
        <is>
          <t>Points gagnés</t>
        </is>
      </c>
    </row>
    <row r="274">
      <c r="A274" s="6" t="inlineStr">
        <is>
          <t>再点一次离开（本局进度不保存）</t>
        </is>
      </c>
      <c r="B274" s="8" t="inlineStr">
        <is>
          <t>再点一次离开（本局进度不保存）</t>
        </is>
      </c>
      <c r="C274" s="8" t="inlineStr">
        <is>
          <t>Tap again to leave (this run is not saved)</t>
        </is>
      </c>
      <c r="D274" s="8" t="inlineStr">
        <is>
          <t>Touche encore pour quitter (partie non sauvegardée)</t>
        </is>
      </c>
    </row>
    <row r="275">
      <c r="A275" s="6" t="inlineStr">
        <is>
          <t>皮厚</t>
        </is>
      </c>
      <c r="B275" s="8" t="inlineStr">
        <is>
          <t>皮厚</t>
        </is>
      </c>
      <c r="C275" s="8" t="inlineStr">
        <is>
          <t>Tough</t>
        </is>
      </c>
      <c r="D275" s="8" t="inlineStr">
        <is>
          <t>Coriace</t>
        </is>
      </c>
    </row>
    <row r="276">
      <c r="A276" s="6" t="inlineStr">
        <is>
          <t>防水</t>
        </is>
      </c>
      <c r="B276" s="8" t="inlineStr">
        <is>
          <t>防水</t>
        </is>
      </c>
      <c r="C276" s="8" t="inlineStr">
        <is>
          <t>Waterproof</t>
        </is>
      </c>
      <c r="D276" s="8" t="inlineStr">
        <is>
          <t>Imperméable</t>
        </is>
      </c>
    </row>
    <row r="277">
      <c r="A277" s="6" t="inlineStr">
        <is>
          <t>跳过！</t>
        </is>
      </c>
      <c r="B277" s="8" t="inlineStr">
        <is>
          <t>跳过！</t>
        </is>
      </c>
      <c r="C277" s="8" t="inlineStr">
        <is>
          <t>Hop!</t>
        </is>
      </c>
      <c r="D277" s="8" t="inlineStr">
        <is>
          <t>Hop !</t>
        </is>
      </c>
    </row>
    <row r="278">
      <c r="A278" s="6" t="inlineStr">
        <is>
          <t>跑者</t>
        </is>
      </c>
      <c r="B278" s="8" t="inlineStr">
        <is>
          <t>跑者</t>
        </is>
      </c>
      <c r="C278" s="8" t="inlineStr">
        <is>
          <t>Runners</t>
        </is>
      </c>
      <c r="D278" s="8" t="inlineStr">
        <is>
          <t>Coureurs</t>
        </is>
      </c>
    </row>
    <row r="279">
      <c r="A279" s="6" t="inlineStr">
        <is>
          <t>对策</t>
        </is>
      </c>
      <c r="B279" s="8" t="inlineStr">
        <is>
          <t>对策</t>
        </is>
      </c>
      <c r="C279" s="8" t="inlineStr">
        <is>
          <t>Counter</t>
        </is>
      </c>
      <c r="D279" s="8" t="inlineStr">
        <is>
          <t>Parade</t>
        </is>
      </c>
    </row>
    <row r="280">
      <c r="A280" s="6" t="inlineStr">
        <is>
          <t>还没遇到过。</t>
        </is>
      </c>
      <c r="B280" s="8" t="inlineStr">
        <is>
          <t>还没遇到过。</t>
        </is>
      </c>
      <c r="C280" s="8" t="inlineStr">
        <is>
          <t>Not met yet.</t>
        </is>
      </c>
      <c r="D280" s="8" t="inlineStr">
        <is>
          <t>Pas encore croisé.</t>
        </is>
      </c>
    </row>
    <row r="281">
      <c r="A281" s="6" t="inlineStr">
        <is>
          <t>新跑者</t>
        </is>
      </c>
      <c r="B281" s="8" t="inlineStr">
        <is>
          <t>新跑者</t>
        </is>
      </c>
      <c r="C281" s="8" t="inlineStr">
        <is>
          <t>New runner</t>
        </is>
      </c>
      <c r="D281" s="8" t="inlineStr">
        <is>
          <t>Nouveau coureur</t>
        </is>
      </c>
    </row>
    <row r="282">
      <c r="A282" s="6" t="inlineStr">
        <is>
          <t>对{x}无效</t>
        </is>
      </c>
      <c r="B282" s="8" t="inlineStr">
        <is>
          <t>对{x}无效</t>
        </is>
      </c>
      <c r="C282" s="8" t="inlineStr">
        <is>
          <t>No effect on {x}</t>
        </is>
      </c>
      <c r="D282" s="8" t="inlineStr">
        <is>
          <t>Sans effet sur {x}</t>
        </is>
      </c>
    </row>
    <row r="284">
      <c r="A284" s="10" t="inlineStr">
        <is>
          <t>※ 花括号里的 {n}、{x} 等是占位符，翻译时要原样保留。</t>
        </is>
      </c>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B54"/>
  <sheetViews>
    <sheetView workbookViewId="0">
      <pane ySplit="2" topLeftCell="A3" activePane="bottomLeft" state="frozen"/>
      <selection pane="bottomLeft" activeCell="A1" sqref="A1"/>
    </sheetView>
  </sheetViews>
  <sheetFormatPr baseColWidth="8" defaultRowHeight="15"/>
  <cols>
    <col width="16" customWidth="1" min="1" max="1"/>
    <col width="70" customWidth="1" min="2" max="2"/>
  </cols>
  <sheetData>
    <row r="1" ht="30" customHeight="1">
      <c r="A1" s="4" t="inlineStr">
        <is>
          <t>写法 / 属性</t>
        </is>
      </c>
      <c r="B1" s="4" t="inlineStr">
        <is>
          <t>说明</t>
        </is>
      </c>
    </row>
    <row r="2">
      <c r="A2" s="5" t="inlineStr"/>
      <c r="B2" s="5" t="inlineStr"/>
    </row>
    <row r="3">
      <c r="A3" s="6" t="inlineStr">
        <is>
          <t>写法</t>
        </is>
      </c>
      <c r="B3" s="8" t="inlineStr">
        <is>
          <t>多个效果用分号隔开，例如：dmg+=2; armor=1</t>
        </is>
      </c>
    </row>
    <row r="4">
      <c r="A4" s="6" t="inlineStr">
        <is>
          <t>+=</t>
        </is>
      </c>
      <c r="B4" s="8" t="inlineStr">
        <is>
          <t>增加：dmg+=1</t>
        </is>
      </c>
    </row>
    <row r="5">
      <c r="A5" s="6" t="inlineStr">
        <is>
          <t>*=</t>
        </is>
      </c>
      <c r="B5" s="8" t="inlineStr">
        <is>
          <t>乘以：rate*=0.8（出手间隔 ×0.8，即变快 20%）</t>
        </is>
      </c>
    </row>
    <row r="6">
      <c r="A6" s="6" t="inlineStr">
        <is>
          <t>=</t>
        </is>
      </c>
      <c r="B6" s="8" t="inlineStr">
        <is>
          <t>设为：stun=0.6</t>
        </is>
      </c>
    </row>
    <row r="7">
      <c r="A7" s="6" t="inlineStr">
        <is>
          <t>&gt;=</t>
        </is>
      </c>
      <c r="B7" s="8" t="inlineStr">
        <is>
          <t>至少为：armor&gt;=0.6</t>
        </is>
      </c>
    </row>
    <row r="8">
      <c r="A8" s="6" t="inlineStr"/>
      <c r="B8" s="8" t="inlineStr"/>
    </row>
    <row r="9">
      <c r="A9" s="6" t="inlineStr">
        <is>
          <t>属性</t>
        </is>
      </c>
      <c r="B9" s="8" t="inlineStr">
        <is>
          <t>含义</t>
        </is>
      </c>
    </row>
    <row r="10">
      <c r="A10" s="6" t="inlineStr">
        <is>
          <t>dmg</t>
        </is>
      </c>
      <c r="B10" s="8" t="inlineStr">
        <is>
          <t>效果（伤害）</t>
        </is>
      </c>
    </row>
    <row r="11">
      <c r="A11" s="6" t="inlineStr">
        <is>
          <t>rate</t>
        </is>
      </c>
      <c r="B11" s="8" t="inlineStr">
        <is>
          <t>出手间隔（秒，越小越快）</t>
        </is>
      </c>
    </row>
    <row r="12">
      <c r="A12" s="6" t="inlineStr">
        <is>
          <t>range</t>
        </is>
      </c>
      <c r="B12" s="8" t="inlineStr">
        <is>
          <t>射程</t>
        </is>
      </c>
    </row>
    <row r="13">
      <c r="A13" s="6" t="inlineStr">
        <is>
          <t>rad</t>
        </is>
      </c>
      <c r="B13" s="8" t="inlineStr">
        <is>
          <t>香蕉皮范围半径</t>
        </is>
      </c>
    </row>
    <row r="14">
      <c r="A14" s="6" t="inlineStr">
        <is>
          <t>slow</t>
        </is>
      </c>
      <c r="B14" s="8" t="inlineStr">
        <is>
          <t>减速比例</t>
        </is>
      </c>
    </row>
    <row r="15">
      <c r="A15" s="6" t="inlineStr">
        <is>
          <t>slowDur</t>
        </is>
      </c>
      <c r="B15" s="8" t="inlineStr">
        <is>
          <t>湿滑持续（秒）</t>
        </is>
      </c>
    </row>
    <row r="16">
      <c r="A16" s="6" t="inlineStr">
        <is>
          <t>chain</t>
        </is>
      </c>
      <c r="B16" s="8" t="inlineStr">
        <is>
          <t>音响传播人数</t>
        </is>
      </c>
    </row>
    <row r="17">
      <c r="A17" s="6" t="inlineStr">
        <is>
          <t>decay</t>
        </is>
      </c>
      <c r="B17" s="8" t="inlineStr">
        <is>
          <t>音响每传一人的效果保留比例</t>
        </is>
      </c>
    </row>
    <row r="18">
      <c r="A18" s="6" t="inlineStr">
        <is>
          <t>multi</t>
        </is>
      </c>
      <c r="B18" s="8" t="inlineStr">
        <is>
          <t>易拉罐每次砸几人</t>
        </is>
      </c>
    </row>
    <row r="19">
      <c r="A19" s="6" t="inlineStr">
        <is>
          <t>crit</t>
        </is>
      </c>
      <c r="B19" s="8" t="inlineStr">
        <is>
          <t>额外暴击率</t>
        </is>
      </c>
    </row>
    <row r="20">
      <c r="A20" s="6" t="inlineStr">
        <is>
          <t>critMul</t>
        </is>
      </c>
      <c r="B20" s="8" t="inlineStr">
        <is>
          <t>暴击倍率</t>
        </is>
      </c>
    </row>
    <row r="21">
      <c r="A21" s="6" t="inlineStr">
        <is>
          <t>armor</t>
        </is>
      </c>
      <c r="B21" s="8" t="inlineStr">
        <is>
          <t>对耐力跑者的效果比例</t>
        </is>
      </c>
    </row>
    <row r="22">
      <c r="A22" s="6" t="inlineStr">
        <is>
          <t>bossMul</t>
        </is>
      </c>
      <c r="B22" s="8" t="inlineStr">
        <is>
          <t>对 Boss 的效果倍率</t>
        </is>
      </c>
    </row>
    <row r="23">
      <c r="A23" s="6" t="inlineStr">
        <is>
          <t>starts</t>
        </is>
      </c>
      <c r="B23" s="8" t="inlineStr">
        <is>
          <t>音响同时放几首</t>
        </is>
      </c>
    </row>
    <row r="24">
      <c r="A24" s="6" t="inlineStr">
        <is>
          <t>shieldMul</t>
        </is>
      </c>
      <c r="B24" s="8" t="inlineStr">
        <is>
          <t>对能量盾的效果倍率</t>
        </is>
      </c>
    </row>
    <row r="25">
      <c r="A25" s="6" t="inlineStr">
        <is>
          <t>bombs</t>
        </is>
      </c>
      <c r="B25" s="8" t="inlineStr">
        <is>
          <t>一次扔几片香蕉皮</t>
        </is>
      </c>
    </row>
    <row r="26">
      <c r="A26" s="6" t="inlineStr">
        <is>
          <t>execChance</t>
        </is>
      </c>
      <c r="B26" s="8" t="inlineStr">
        <is>
          <t>命中直接绊倒退赛的概率（非 Boss）</t>
        </is>
      </c>
    </row>
    <row r="27">
      <c r="A27" s="6" t="inlineStr">
        <is>
          <t>mark</t>
        </is>
      </c>
      <c r="B27" s="8" t="inlineStr">
        <is>
          <t>汽水黏鞋持续秒数</t>
        </is>
      </c>
    </row>
    <row r="28">
      <c r="A28" s="6" t="inlineStr">
        <is>
          <t>auraRate</t>
        </is>
      </c>
      <c r="B28" s="8" t="inlineStr">
        <is>
          <t>光环：其他装置出手间隔倍率</t>
        </is>
      </c>
    </row>
    <row r="29">
      <c r="A29" s="6" t="inlineStr">
        <is>
          <t>auraR</t>
        </is>
      </c>
      <c r="B29" s="8" t="inlineStr">
        <is>
          <t>光环半径（不填则等于射程）</t>
        </is>
      </c>
    </row>
    <row r="30">
      <c r="A30" s="6" t="inlineStr">
        <is>
          <t>auraDmg</t>
        </is>
      </c>
      <c r="B30" s="8" t="inlineStr">
        <is>
          <t>光环：其他装置效果倍率</t>
        </is>
      </c>
    </row>
    <row r="31">
      <c r="A31" s="6" t="inlineStr">
        <is>
          <t>stun</t>
        </is>
      </c>
      <c r="B31" s="8" t="inlineStr">
        <is>
          <t>眩晕秒数</t>
        </is>
      </c>
    </row>
    <row r="32">
      <c r="A32" s="6" t="inlineStr">
        <is>
          <t>shrapnel</t>
        </is>
      </c>
      <c r="B32" s="8" t="inlineStr">
        <is>
          <t>香蕉碎片块数</t>
        </is>
      </c>
    </row>
    <row r="33">
      <c r="A33" s="6" t="inlineStr">
        <is>
          <t>cluster</t>
        </is>
      </c>
      <c r="B33" s="8" t="inlineStr">
        <is>
          <t>小香蕉分裂层数</t>
        </is>
      </c>
    </row>
    <row r="34">
      <c r="A34" s="6" t="inlineStr">
        <is>
          <t>burnDur</t>
        </is>
      </c>
      <c r="B34" s="8" t="inlineStr">
        <is>
          <t>辣椒持续秒数</t>
        </is>
      </c>
    </row>
    <row r="35">
      <c r="A35" s="6" t="inlineStr">
        <is>
          <t>burnPct</t>
        </is>
      </c>
      <c r="B35" s="8" t="inlineStr">
        <is>
          <t>辣椒每秒效果比例</t>
        </is>
      </c>
    </row>
    <row r="36">
      <c r="A36" s="6" t="inlineStr">
        <is>
          <t>firePatch</t>
        </is>
      </c>
      <c r="B36" s="8" t="inlineStr">
        <is>
          <t>辣油留存秒数</t>
        </is>
      </c>
    </row>
    <row r="37">
      <c r="A37" s="6" t="inlineStr">
        <is>
          <t>inferno</t>
        </is>
      </c>
      <c r="B37" s="8" t="inlineStr">
        <is>
          <t>1 = 辣到退赛时溅射</t>
        </is>
      </c>
    </row>
    <row r="38">
      <c r="A38" s="6" t="inlineStr">
        <is>
          <t>freeze</t>
        </is>
      </c>
      <c r="B38" s="8" t="inlineStr">
        <is>
          <t>冻结秒数</t>
        </is>
      </c>
    </row>
    <row r="39">
      <c r="A39" s="6" t="inlineStr">
        <is>
          <t>bossSlowFull</t>
        </is>
      </c>
      <c r="B39" s="8" t="inlineStr">
        <is>
          <t>1 = Boss 吃满减速</t>
        </is>
      </c>
    </row>
    <row r="40">
      <c r="A40" s="6" t="inlineStr">
        <is>
          <t>iceAge</t>
        </is>
      </c>
      <c r="B40" s="8" t="inlineStr">
        <is>
          <t>人工降雪间隔秒数</t>
        </is>
      </c>
    </row>
    <row r="41">
      <c r="A41" s="6" t="inlineStr">
        <is>
          <t>vulnSlow</t>
        </is>
      </c>
      <c r="B41" s="8" t="inlineStr">
        <is>
          <t>被淋湿后额外受到的效果比例</t>
        </is>
      </c>
    </row>
    <row r="42">
      <c r="A42" s="6" t="inlineStr">
        <is>
          <t>vulnFreeze</t>
        </is>
      </c>
      <c r="B42" s="8" t="inlineStr">
        <is>
          <t>被冻住后额外受到的效果比例</t>
        </is>
      </c>
    </row>
    <row r="43">
      <c r="A43" s="6" t="inlineStr">
        <is>
          <t>strip</t>
        </is>
      </c>
      <c r="B43" s="8" t="inlineStr">
        <is>
          <t>泡水鞋持续秒数</t>
        </is>
      </c>
    </row>
    <row r="44">
      <c r="A44" s="6" t="inlineStr">
        <is>
          <t>exec25</t>
        </is>
      </c>
      <c r="B44" s="8" t="inlineStr">
        <is>
          <t>1 = 体力低于 25% 直接退赛</t>
        </is>
      </c>
    </row>
    <row r="45">
      <c r="A45" s="6" t="inlineStr">
        <is>
          <t>decap</t>
        </is>
      </c>
      <c r="B45" s="8" t="inlineStr">
        <is>
          <t>1 = 开启神秘箱轰炸</t>
        </is>
      </c>
    </row>
    <row r="46">
      <c r="A46" s="6" t="inlineStr">
        <is>
          <t>ricochet</t>
        </is>
      </c>
      <c r="B46" s="8" t="inlineStr">
        <is>
          <t>鞋盒弹跳次数</t>
        </is>
      </c>
    </row>
    <row r="47">
      <c r="A47" s="6" t="inlineStr">
        <is>
          <t>gpw</t>
        </is>
      </c>
      <c r="B47" s="8" t="inlineStr">
        <is>
          <t>每波结束额外 GST</t>
        </is>
      </c>
    </row>
    <row r="48">
      <c r="A48" s="6" t="inlineStr">
        <is>
          <t>globalDmg</t>
        </is>
      </c>
      <c r="B48" s="8" t="inlineStr">
        <is>
          <t>全场装置效果加成</t>
        </is>
      </c>
    </row>
    <row r="49">
      <c r="A49" s="6" t="inlineStr">
        <is>
          <t>overN</t>
        </is>
      </c>
      <c r="B49" s="8" t="inlineStr">
        <is>
          <t>每第几次触发重低音</t>
        </is>
      </c>
    </row>
    <row r="50">
      <c r="A50" s="6" t="inlineStr">
        <is>
          <t>overMul</t>
        </is>
      </c>
      <c r="B50" s="8" t="inlineStr">
        <is>
          <t>重低音效果倍率</t>
        </is>
      </c>
    </row>
    <row r="51">
      <c r="A51" s="6" t="inlineStr">
        <is>
          <t>staticDps</t>
        </is>
      </c>
      <c r="B51" s="8" t="inlineStr">
        <is>
          <t>魔性旋律每秒效果</t>
        </is>
      </c>
    </row>
    <row r="52">
      <c r="A52" s="6" t="inlineStr">
        <is>
          <t>hash</t>
        </is>
      </c>
      <c r="B52" s="8" t="inlineStr">
        <is>
          <t>矿机算力</t>
        </is>
      </c>
    </row>
    <row r="53">
      <c r="A53" s="6" t="inlineStr">
        <is>
          <t>blockBonus</t>
        </is>
      </c>
      <c r="B53" s="8" t="inlineStr">
        <is>
          <t>出块奖励加成</t>
        </is>
      </c>
    </row>
    <row r="54">
      <c r="A54" s="6" t="inlineStr">
        <is>
          <t>heat</t>
        </is>
      </c>
      <c r="B54" s="8" t="inlineStr">
        <is>
          <t>矿机热风每秒效果</t>
        </is>
      </c>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O2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12" customWidth="1" min="3" max="3"/>
    <col width="14" customWidth="1" min="4" max="4"/>
    <col width="16" customWidth="1" min="5" max="5"/>
    <col width="12" customWidth="1" min="6" max="6"/>
    <col width="16" customWidth="1" min="7" max="7"/>
    <col width="18" customWidth="1" min="8" max="8"/>
    <col width="18" customWidth="1" min="9" max="9"/>
    <col width="11" customWidth="1" min="10" max="10"/>
    <col width="26" customWidth="1" min="13" max="13"/>
    <col width="10" customWidth="1" min="14" max="14"/>
    <col width="70" customWidth="1" min="15" max="15"/>
  </cols>
  <sheetData>
    <row r="1" ht="30" customHeight="1">
      <c r="A1" s="4" t="inlineStr">
        <is>
          <t>波次</t>
        </is>
      </c>
      <c r="B1" s="4" t="inlineStr">
        <is>
          <t>总人数</t>
        </is>
      </c>
      <c r="C1" s="4" t="inlineStr">
        <is>
          <t>有效总体力</t>
        </is>
      </c>
      <c r="D1" s="4" t="inlineStr">
        <is>
          <t>本波劝退可得 GST</t>
        </is>
      </c>
      <c r="E1" s="4" t="inlineStr">
        <is>
          <t>开打前累计可用 GST</t>
        </is>
      </c>
      <c r="F1" s="4" t="inlineStr">
        <is>
          <t>预计时长（秒）</t>
        </is>
      </c>
      <c r="G1" s="4" t="inlineStr">
        <is>
          <t>需要的输出（HP/秒）</t>
        </is>
      </c>
      <c r="H1" s="4" t="inlineStr">
        <is>
          <t>预计可用输出（HP/秒）</t>
        </is>
      </c>
      <c r="I1" s="4" t="inlineStr">
        <is>
          <t>压力系数 = 需要 ÷ 可用</t>
        </is>
      </c>
      <c r="J1" s="4" t="inlineStr">
        <is>
          <t>较上一波</t>
        </is>
      </c>
    </row>
    <row r="2">
      <c r="A2" s="5" t="inlineStr"/>
      <c r="B2" s="5" t="inlineStr"/>
      <c r="C2" s="5" t="inlineStr"/>
      <c r="D2" s="5" t="inlineStr"/>
      <c r="E2" s="5" t="inlineStr"/>
      <c r="F2" s="5" t="inlineStr"/>
      <c r="G2" s="5" t="inlineStr"/>
      <c r="H2" s="5" t="inlineStr"/>
      <c r="I2" s="5" t="inlineStr"/>
      <c r="J2" s="5" t="inlineStr"/>
      <c r="M2" s="11" t="inlineStr">
        <is>
          <t>假设参数（蓝字可改）</t>
        </is>
      </c>
    </row>
    <row r="3">
      <c r="A3" s="9">
        <f>波次!A3</f>
        <v/>
      </c>
      <c r="B3" s="9">
        <f>波次!M3</f>
        <v/>
      </c>
      <c r="C3" s="12">
        <f>波次!B3*波次!D3+波次!C3*波次!E3*$N$3+波次!F3*波次!G3+(波次!I3*INDEX(全局!$B:$B,MATCH("hpRain",全局!$A:$A,0))+波次!J3*INDEX(全局!$B:$B,MATCH("hpHop",全局!$A:$A,0))+波次!K3*INDEX(全局!$B:$B,MATCH("hpPhones",全局!$A:$A,0)))*波次!D3+波次!L3*波次!E3*INDEX(全局!$B:$B,MATCH("hpWhale",全局!$A:$A,0))*$N$4</f>
        <v/>
      </c>
      <c r="D3" s="9">
        <f>波次!B3*INDEX(敌人!$G:$G,MATCH("norm",敌人!$A:$A,0))+波次!C3*INDEX(敌人!$G:$G,MATCH("arm",敌人!$A:$A,0))+波次!F3*INDEX(敌人!$G:$G,MATCH("boss",敌人!$A:$A,0))+波次!I3*INDEX(敌人!$G:$G,MATCH("rain",敌人!$A:$A,0))+波次!J3*INDEX(敌人!$G:$G,MATCH("hop",敌人!$A:$A,0))+波次!K3*INDEX(敌人!$G:$G,MATCH("phones",敌人!$A:$A,0))+波次!L3*INDEX(敌人!$G:$G,MATCH("whale",敌人!$A:$A,0))</f>
        <v/>
      </c>
      <c r="E3" s="9">
        <f>INDEX(全局!$B:$B,MATCH("startGold",全局!$A:$A,0))</f>
        <v/>
      </c>
      <c r="F3" s="13">
        <f>B3*MAX(INDEX(全局!$B:$B,MATCH("spawnMin",全局!$A:$A,0)),INDEX(全局!$B:$B,MATCH("spawnBase",全局!$A:$A,0))-A3*INDEX(全局!$B:$B,MATCH("spawnPerWave",全局!$A:$A,0)))+$N$5/$N$6</f>
        <v/>
      </c>
      <c r="G3" s="12">
        <f>C3/F3</f>
        <v/>
      </c>
      <c r="H3" s="12">
        <f>E3*$N$7</f>
        <v/>
      </c>
      <c r="I3" s="14">
        <f>G3/H3</f>
        <v/>
      </c>
      <c r="J3" s="15" t="inlineStr"/>
      <c r="M3" s="16" t="inlineStr">
        <is>
          <t>耐力跑者体力折算</t>
        </is>
      </c>
      <c r="N3" s="17" t="n">
        <v>1.6</v>
      </c>
      <c r="O3" s="10" t="inlineStr">
        <is>
          <t>耐力跑者对大多数装置有减免，按 ×1.6 算有效体力</t>
        </is>
      </c>
    </row>
    <row r="4">
      <c r="A4" s="9">
        <f>波次!A4</f>
        <v/>
      </c>
      <c r="B4" s="9">
        <f>波次!M4</f>
        <v/>
      </c>
      <c r="C4" s="12">
        <f>波次!B4*波次!D4+波次!C4*波次!E4*$N$3+波次!F4*波次!G4+(波次!I4*INDEX(全局!$B:$B,MATCH("hpRain",全局!$A:$A,0))+波次!J4*INDEX(全局!$B:$B,MATCH("hpHop",全局!$A:$A,0))+波次!K4*INDEX(全局!$B:$B,MATCH("hpPhones",全局!$A:$A,0)))*波次!D4+波次!L4*波次!E4*INDEX(全局!$B:$B,MATCH("hpWhale",全局!$A:$A,0))*$N$4</f>
        <v/>
      </c>
      <c r="D4" s="9">
        <f>波次!B4*INDEX(敌人!$G:$G,MATCH("norm",敌人!$A:$A,0))+波次!C4*INDEX(敌人!$G:$G,MATCH("arm",敌人!$A:$A,0))+波次!F4*INDEX(敌人!$G:$G,MATCH("boss",敌人!$A:$A,0))+波次!I4*INDEX(敌人!$G:$G,MATCH("rain",敌人!$A:$A,0))+波次!J4*INDEX(敌人!$G:$G,MATCH("hop",敌人!$A:$A,0))+波次!K4*INDEX(敌人!$G:$G,MATCH("phones",敌人!$A:$A,0))+波次!L4*INDEX(敌人!$G:$G,MATCH("whale",敌人!$A:$A,0))</f>
        <v/>
      </c>
      <c r="E4" s="9">
        <f>E3+D3+INDEX(全局!$B:$B,MATCH("waveReward",全局!$A:$A,0))</f>
        <v/>
      </c>
      <c r="F4" s="13">
        <f>B4*MAX(INDEX(全局!$B:$B,MATCH("spawnMin",全局!$A:$A,0)),INDEX(全局!$B:$B,MATCH("spawnBase",全局!$A:$A,0))-A4*INDEX(全局!$B:$B,MATCH("spawnPerWave",全局!$A:$A,0)))+$N$5/$N$6</f>
        <v/>
      </c>
      <c r="G4" s="12">
        <f>C4/F4</f>
        <v/>
      </c>
      <c r="H4" s="12">
        <f>E4*$N$7</f>
        <v/>
      </c>
      <c r="I4" s="14">
        <f>G4/H4</f>
        <v/>
      </c>
      <c r="J4" s="15">
        <f>I4/I3-1</f>
        <v/>
      </c>
      <c r="M4" s="16" t="inlineStr">
        <is>
          <t>巨鲸体力折算</t>
        </is>
      </c>
      <c r="N4" s="17" t="n">
        <v>1.5</v>
      </c>
      <c r="O4" s="10" t="inlineStr">
        <is>
          <t>巨鲸削弱小伤害，按 ×1.5 算有效体力</t>
        </is>
      </c>
    </row>
    <row r="5">
      <c r="A5" s="9">
        <f>波次!A5</f>
        <v/>
      </c>
      <c r="B5" s="9">
        <f>波次!M5</f>
        <v/>
      </c>
      <c r="C5" s="12">
        <f>波次!B5*波次!D5+波次!C5*波次!E5*$N$3+波次!F5*波次!G5+(波次!I5*INDEX(全局!$B:$B,MATCH("hpRain",全局!$A:$A,0))+波次!J5*INDEX(全局!$B:$B,MATCH("hpHop",全局!$A:$A,0))+波次!K5*INDEX(全局!$B:$B,MATCH("hpPhones",全局!$A:$A,0)))*波次!D5+波次!L5*波次!E5*INDEX(全局!$B:$B,MATCH("hpWhale",全局!$A:$A,0))*$N$4</f>
        <v/>
      </c>
      <c r="D5" s="9">
        <f>波次!B5*INDEX(敌人!$G:$G,MATCH("norm",敌人!$A:$A,0))+波次!C5*INDEX(敌人!$G:$G,MATCH("arm",敌人!$A:$A,0))+波次!F5*INDEX(敌人!$G:$G,MATCH("boss",敌人!$A:$A,0))+波次!I5*INDEX(敌人!$G:$G,MATCH("rain",敌人!$A:$A,0))+波次!J5*INDEX(敌人!$G:$G,MATCH("hop",敌人!$A:$A,0))+波次!K5*INDEX(敌人!$G:$G,MATCH("phones",敌人!$A:$A,0))+波次!L5*INDEX(敌人!$G:$G,MATCH("whale",敌人!$A:$A,0))</f>
        <v/>
      </c>
      <c r="E5" s="9">
        <f>E4+D4+INDEX(全局!$B:$B,MATCH("waveReward",全局!$A:$A,0))</f>
        <v/>
      </c>
      <c r="F5" s="13">
        <f>B5*MAX(INDEX(全局!$B:$B,MATCH("spawnMin",全局!$A:$A,0)),INDEX(全局!$B:$B,MATCH("spawnBase",全局!$A:$A,0))-A5*INDEX(全局!$B:$B,MATCH("spawnPerWave",全局!$A:$A,0)))+$N$5/$N$6</f>
        <v/>
      </c>
      <c r="G5" s="12">
        <f>C5/F5</f>
        <v/>
      </c>
      <c r="H5" s="12">
        <f>E5*$N$7</f>
        <v/>
      </c>
      <c r="I5" s="14">
        <f>G5/H5</f>
        <v/>
      </c>
      <c r="J5" s="15">
        <f>I5/I4-1</f>
        <v/>
      </c>
      <c r="M5" s="16" t="inlineStr">
        <is>
          <t>跑道长度（像素）</t>
        </is>
      </c>
      <c r="N5" s="17" t="n">
        <v>1500</v>
      </c>
      <c r="O5" s="10" t="inlineStr">
        <is>
          <t>经典跑道大约 1500</t>
        </is>
      </c>
    </row>
    <row r="6">
      <c r="A6" s="9">
        <f>波次!A6</f>
        <v/>
      </c>
      <c r="B6" s="9">
        <f>波次!M6</f>
        <v/>
      </c>
      <c r="C6" s="12">
        <f>波次!B6*波次!D6+波次!C6*波次!E6*$N$3+波次!F6*波次!G6+(波次!I6*INDEX(全局!$B:$B,MATCH("hpRain",全局!$A:$A,0))+波次!J6*INDEX(全局!$B:$B,MATCH("hpHop",全局!$A:$A,0))+波次!K6*INDEX(全局!$B:$B,MATCH("hpPhones",全局!$A:$A,0)))*波次!D6+波次!L6*波次!E6*INDEX(全局!$B:$B,MATCH("hpWhale",全局!$A:$A,0))*$N$4</f>
        <v/>
      </c>
      <c r="D6" s="9">
        <f>波次!B6*INDEX(敌人!$G:$G,MATCH("norm",敌人!$A:$A,0))+波次!C6*INDEX(敌人!$G:$G,MATCH("arm",敌人!$A:$A,0))+波次!F6*INDEX(敌人!$G:$G,MATCH("boss",敌人!$A:$A,0))+波次!I6*INDEX(敌人!$G:$G,MATCH("rain",敌人!$A:$A,0))+波次!J6*INDEX(敌人!$G:$G,MATCH("hop",敌人!$A:$A,0))+波次!K6*INDEX(敌人!$G:$G,MATCH("phones",敌人!$A:$A,0))+波次!L6*INDEX(敌人!$G:$G,MATCH("whale",敌人!$A:$A,0))</f>
        <v/>
      </c>
      <c r="E6" s="9">
        <f>E5+D5+INDEX(全局!$B:$B,MATCH("waveReward",全局!$A:$A,0))</f>
        <v/>
      </c>
      <c r="F6" s="13">
        <f>B6*MAX(INDEX(全局!$B:$B,MATCH("spawnMin",全局!$A:$A,0)),INDEX(全局!$B:$B,MATCH("spawnBase",全局!$A:$A,0))-A6*INDEX(全局!$B:$B,MATCH("spawnPerWave",全局!$A:$A,0)))+$N$5/$N$6</f>
        <v/>
      </c>
      <c r="G6" s="12">
        <f>C6/F6</f>
        <v/>
      </c>
      <c r="H6" s="12">
        <f>E6*$N$7</f>
        <v/>
      </c>
      <c r="I6" s="14">
        <f>G6/H6</f>
        <v/>
      </c>
      <c r="J6" s="15">
        <f>I6/I5-1</f>
        <v/>
      </c>
      <c r="M6" s="16" t="inlineStr">
        <is>
          <t>平均移速</t>
        </is>
      </c>
      <c r="N6" s="17">
        <f>INDEX(敌人!$F:$F,MATCH("norm",敌人!$A:$A,0))</f>
        <v/>
      </c>
      <c r="O6" s="10" t="inlineStr">
        <is>
          <t>取慢跑者移速</t>
        </is>
      </c>
    </row>
    <row r="7">
      <c r="A7" s="9">
        <f>波次!A7</f>
        <v/>
      </c>
      <c r="B7" s="9">
        <f>波次!M7</f>
        <v/>
      </c>
      <c r="C7" s="12">
        <f>波次!B7*波次!D7+波次!C7*波次!E7*$N$3+波次!F7*波次!G7+(波次!I7*INDEX(全局!$B:$B,MATCH("hpRain",全局!$A:$A,0))+波次!J7*INDEX(全局!$B:$B,MATCH("hpHop",全局!$A:$A,0))+波次!K7*INDEX(全局!$B:$B,MATCH("hpPhones",全局!$A:$A,0)))*波次!D7+波次!L7*波次!E7*INDEX(全局!$B:$B,MATCH("hpWhale",全局!$A:$A,0))*$N$4</f>
        <v/>
      </c>
      <c r="D7" s="9">
        <f>波次!B7*INDEX(敌人!$G:$G,MATCH("norm",敌人!$A:$A,0))+波次!C7*INDEX(敌人!$G:$G,MATCH("arm",敌人!$A:$A,0))+波次!F7*INDEX(敌人!$G:$G,MATCH("boss",敌人!$A:$A,0))+波次!I7*INDEX(敌人!$G:$G,MATCH("rain",敌人!$A:$A,0))+波次!J7*INDEX(敌人!$G:$G,MATCH("hop",敌人!$A:$A,0))+波次!K7*INDEX(敌人!$G:$G,MATCH("phones",敌人!$A:$A,0))+波次!L7*INDEX(敌人!$G:$G,MATCH("whale",敌人!$A:$A,0))</f>
        <v/>
      </c>
      <c r="E7" s="9">
        <f>E6+D6+INDEX(全局!$B:$B,MATCH("waveReward",全局!$A:$A,0))</f>
        <v/>
      </c>
      <c r="F7" s="13">
        <f>B7*MAX(INDEX(全局!$B:$B,MATCH("spawnMin",全局!$A:$A,0)),INDEX(全局!$B:$B,MATCH("spawnBase",全局!$A:$A,0))-A7*INDEX(全局!$B:$B,MATCH("spawnPerWave",全局!$A:$A,0)))+$N$5/$N$6</f>
        <v/>
      </c>
      <c r="G7" s="12">
        <f>C7/F7</f>
        <v/>
      </c>
      <c r="H7" s="12">
        <f>E7*$N$7</f>
        <v/>
      </c>
      <c r="I7" s="14">
        <f>G7/H7</f>
        <v/>
      </c>
      <c r="J7" s="15">
        <f>I7/I6-1</f>
        <v/>
      </c>
      <c r="M7" s="16" t="inlineStr">
        <is>
          <t>每 GST 可换来的输出（HP/秒）</t>
        </is>
      </c>
      <c r="N7" s="17" t="n">
        <v>0.025</v>
      </c>
      <c r="O7" s="10" t="inlineStr">
        <is>
          <t>用「数值体检·装置」里基础装置的平均值粗估；投入越多、越靠后的升级越不划算</t>
        </is>
      </c>
    </row>
    <row r="8">
      <c r="A8" s="9">
        <f>波次!A8</f>
        <v/>
      </c>
      <c r="B8" s="9">
        <f>波次!M8</f>
        <v/>
      </c>
      <c r="C8" s="12">
        <f>波次!B8*波次!D8+波次!C8*波次!E8*$N$3+波次!F8*波次!G8+(波次!I8*INDEX(全局!$B:$B,MATCH("hpRain",全局!$A:$A,0))+波次!J8*INDEX(全局!$B:$B,MATCH("hpHop",全局!$A:$A,0))+波次!K8*INDEX(全局!$B:$B,MATCH("hpPhones",全局!$A:$A,0)))*波次!D8+波次!L8*波次!E8*INDEX(全局!$B:$B,MATCH("hpWhale",全局!$A:$A,0))*$N$4</f>
        <v/>
      </c>
      <c r="D8" s="9">
        <f>波次!B8*INDEX(敌人!$G:$G,MATCH("norm",敌人!$A:$A,0))+波次!C8*INDEX(敌人!$G:$G,MATCH("arm",敌人!$A:$A,0))+波次!F8*INDEX(敌人!$G:$G,MATCH("boss",敌人!$A:$A,0))+波次!I8*INDEX(敌人!$G:$G,MATCH("rain",敌人!$A:$A,0))+波次!J8*INDEX(敌人!$G:$G,MATCH("hop",敌人!$A:$A,0))+波次!K8*INDEX(敌人!$G:$G,MATCH("phones",敌人!$A:$A,0))+波次!L8*INDEX(敌人!$G:$G,MATCH("whale",敌人!$A:$A,0))</f>
        <v/>
      </c>
      <c r="E8" s="9">
        <f>E7+D7+INDEX(全局!$B:$B,MATCH("waveReward",全局!$A:$A,0))</f>
        <v/>
      </c>
      <c r="F8" s="13">
        <f>B8*MAX(INDEX(全局!$B:$B,MATCH("spawnMin",全局!$A:$A,0)),INDEX(全局!$B:$B,MATCH("spawnBase",全局!$A:$A,0))-A8*INDEX(全局!$B:$B,MATCH("spawnPerWave",全局!$A:$A,0)))+$N$5/$N$6</f>
        <v/>
      </c>
      <c r="G8" s="12">
        <f>C8/F8</f>
        <v/>
      </c>
      <c r="H8" s="12">
        <f>E8*$N$7</f>
        <v/>
      </c>
      <c r="I8" s="14">
        <f>G8/H8</f>
        <v/>
      </c>
      <c r="J8" s="15">
        <f>I8/I7-1</f>
        <v/>
      </c>
      <c r="M8" s="16" t="inlineStr">
        <is>
          <t>压力系数：上限</t>
        </is>
      </c>
      <c r="N8" s="17" t="n">
        <v>0.85</v>
      </c>
      <c r="O8" s="10" t="inlineStr">
        <is>
          <t>超过就标红（按机器人实测校准：现有 15 波在 1.4 倍体力下仍能通关）</t>
        </is>
      </c>
    </row>
    <row r="9">
      <c r="A9" s="9">
        <f>波次!A9</f>
        <v/>
      </c>
      <c r="B9" s="9">
        <f>波次!M9</f>
        <v/>
      </c>
      <c r="C9" s="12">
        <f>波次!B9*波次!D9+波次!C9*波次!E9*$N$3+波次!F9*波次!G9+(波次!I9*INDEX(全局!$B:$B,MATCH("hpRain",全局!$A:$A,0))+波次!J9*INDEX(全局!$B:$B,MATCH("hpHop",全局!$A:$A,0))+波次!K9*INDEX(全局!$B:$B,MATCH("hpPhones",全局!$A:$A,0)))*波次!D9+波次!L9*波次!E9*INDEX(全局!$B:$B,MATCH("hpWhale",全局!$A:$A,0))*$N$4</f>
        <v/>
      </c>
      <c r="D9" s="9">
        <f>波次!B9*INDEX(敌人!$G:$G,MATCH("norm",敌人!$A:$A,0))+波次!C9*INDEX(敌人!$G:$G,MATCH("arm",敌人!$A:$A,0))+波次!F9*INDEX(敌人!$G:$G,MATCH("boss",敌人!$A:$A,0))+波次!I9*INDEX(敌人!$G:$G,MATCH("rain",敌人!$A:$A,0))+波次!J9*INDEX(敌人!$G:$G,MATCH("hop",敌人!$A:$A,0))+波次!K9*INDEX(敌人!$G:$G,MATCH("phones",敌人!$A:$A,0))+波次!L9*INDEX(敌人!$G:$G,MATCH("whale",敌人!$A:$A,0))</f>
        <v/>
      </c>
      <c r="E9" s="9">
        <f>E8+D8+INDEX(全局!$B:$B,MATCH("waveReward",全局!$A:$A,0))</f>
        <v/>
      </c>
      <c r="F9" s="13">
        <f>B9*MAX(INDEX(全局!$B:$B,MATCH("spawnMin",全局!$A:$A,0)),INDEX(全局!$B:$B,MATCH("spawnBase",全局!$A:$A,0))-A9*INDEX(全局!$B:$B,MATCH("spawnPerWave",全局!$A:$A,0)))+$N$5/$N$6</f>
        <v/>
      </c>
      <c r="G9" s="12">
        <f>C9/F9</f>
        <v/>
      </c>
      <c r="H9" s="12">
        <f>E9*$N$7</f>
        <v/>
      </c>
      <c r="I9" s="14">
        <f>G9/H9</f>
        <v/>
      </c>
      <c r="J9" s="15">
        <f>I9/I8-1</f>
        <v/>
      </c>
      <c r="M9" s="16" t="inlineStr">
        <is>
          <t>压力系数：下限</t>
        </is>
      </c>
      <c r="N9" s="17" t="n">
        <v>0.25</v>
      </c>
      <c r="O9" s="10" t="inlineStr">
        <is>
          <t>低于就标黄，太轻松</t>
        </is>
      </c>
    </row>
    <row r="10">
      <c r="A10" s="9">
        <f>波次!A10</f>
        <v/>
      </c>
      <c r="B10" s="9">
        <f>波次!M10</f>
        <v/>
      </c>
      <c r="C10" s="12">
        <f>波次!B10*波次!D10+波次!C10*波次!E10*$N$3+波次!F10*波次!G10+(波次!I10*INDEX(全局!$B:$B,MATCH("hpRain",全局!$A:$A,0))+波次!J10*INDEX(全局!$B:$B,MATCH("hpHop",全局!$A:$A,0))+波次!K10*INDEX(全局!$B:$B,MATCH("hpPhones",全局!$A:$A,0)))*波次!D10+波次!L10*波次!E10*INDEX(全局!$B:$B,MATCH("hpWhale",全局!$A:$A,0))*$N$4</f>
        <v/>
      </c>
      <c r="D10" s="9">
        <f>波次!B10*INDEX(敌人!$G:$G,MATCH("norm",敌人!$A:$A,0))+波次!C10*INDEX(敌人!$G:$G,MATCH("arm",敌人!$A:$A,0))+波次!F10*INDEX(敌人!$G:$G,MATCH("boss",敌人!$A:$A,0))+波次!I10*INDEX(敌人!$G:$G,MATCH("rain",敌人!$A:$A,0))+波次!J10*INDEX(敌人!$G:$G,MATCH("hop",敌人!$A:$A,0))+波次!K10*INDEX(敌人!$G:$G,MATCH("phones",敌人!$A:$A,0))+波次!L10*INDEX(敌人!$G:$G,MATCH("whale",敌人!$A:$A,0))</f>
        <v/>
      </c>
      <c r="E10" s="9">
        <f>E9+D9+INDEX(全局!$B:$B,MATCH("waveReward",全局!$A:$A,0))</f>
        <v/>
      </c>
      <c r="F10" s="13">
        <f>B10*MAX(INDEX(全局!$B:$B,MATCH("spawnMin",全局!$A:$A,0)),INDEX(全局!$B:$B,MATCH("spawnBase",全局!$A:$A,0))-A10*INDEX(全局!$B:$B,MATCH("spawnPerWave",全局!$A:$A,0)))+$N$5/$N$6</f>
        <v/>
      </c>
      <c r="G10" s="12">
        <f>C10/F10</f>
        <v/>
      </c>
      <c r="H10" s="12">
        <f>E10*$N$7</f>
        <v/>
      </c>
      <c r="I10" s="14">
        <f>G10/H10</f>
        <v/>
      </c>
      <c r="J10" s="15">
        <f>I10/I9-1</f>
        <v/>
      </c>
    </row>
    <row r="11">
      <c r="A11" s="9">
        <f>波次!A11</f>
        <v/>
      </c>
      <c r="B11" s="9">
        <f>波次!M11</f>
        <v/>
      </c>
      <c r="C11" s="12">
        <f>波次!B11*波次!D11+波次!C11*波次!E11*$N$3+波次!F11*波次!G11+(波次!I11*INDEX(全局!$B:$B,MATCH("hpRain",全局!$A:$A,0))+波次!J11*INDEX(全局!$B:$B,MATCH("hpHop",全局!$A:$A,0))+波次!K11*INDEX(全局!$B:$B,MATCH("hpPhones",全局!$A:$A,0)))*波次!D11+波次!L11*波次!E11*INDEX(全局!$B:$B,MATCH("hpWhale",全局!$A:$A,0))*$N$4</f>
        <v/>
      </c>
      <c r="D11" s="9">
        <f>波次!B11*INDEX(敌人!$G:$G,MATCH("norm",敌人!$A:$A,0))+波次!C11*INDEX(敌人!$G:$G,MATCH("arm",敌人!$A:$A,0))+波次!F11*INDEX(敌人!$G:$G,MATCH("boss",敌人!$A:$A,0))+波次!I11*INDEX(敌人!$G:$G,MATCH("rain",敌人!$A:$A,0))+波次!J11*INDEX(敌人!$G:$G,MATCH("hop",敌人!$A:$A,0))+波次!K11*INDEX(敌人!$G:$G,MATCH("phones",敌人!$A:$A,0))+波次!L11*INDEX(敌人!$G:$G,MATCH("whale",敌人!$A:$A,0))</f>
        <v/>
      </c>
      <c r="E11" s="9">
        <f>E10+D10+INDEX(全局!$B:$B,MATCH("waveReward",全局!$A:$A,0))</f>
        <v/>
      </c>
      <c r="F11" s="13">
        <f>B11*MAX(INDEX(全局!$B:$B,MATCH("spawnMin",全局!$A:$A,0)),INDEX(全局!$B:$B,MATCH("spawnBase",全局!$A:$A,0))-A11*INDEX(全局!$B:$B,MATCH("spawnPerWave",全局!$A:$A,0)))+$N$5/$N$6</f>
        <v/>
      </c>
      <c r="G11" s="12">
        <f>C11/F11</f>
        <v/>
      </c>
      <c r="H11" s="12">
        <f>E11*$N$7</f>
        <v/>
      </c>
      <c r="I11" s="14">
        <f>G11/H11</f>
        <v/>
      </c>
      <c r="J11" s="15">
        <f>I11/I10-1</f>
        <v/>
      </c>
    </row>
    <row r="12">
      <c r="A12" s="9">
        <f>波次!A12</f>
        <v/>
      </c>
      <c r="B12" s="9">
        <f>波次!M12</f>
        <v/>
      </c>
      <c r="C12" s="12">
        <f>波次!B12*波次!D12+波次!C12*波次!E12*$N$3+波次!F12*波次!G12+(波次!I12*INDEX(全局!$B:$B,MATCH("hpRain",全局!$A:$A,0))+波次!J12*INDEX(全局!$B:$B,MATCH("hpHop",全局!$A:$A,0))+波次!K12*INDEX(全局!$B:$B,MATCH("hpPhones",全局!$A:$A,0)))*波次!D12+波次!L12*波次!E12*INDEX(全局!$B:$B,MATCH("hpWhale",全局!$A:$A,0))*$N$4</f>
        <v/>
      </c>
      <c r="D12" s="9">
        <f>波次!B12*INDEX(敌人!$G:$G,MATCH("norm",敌人!$A:$A,0))+波次!C12*INDEX(敌人!$G:$G,MATCH("arm",敌人!$A:$A,0))+波次!F12*INDEX(敌人!$G:$G,MATCH("boss",敌人!$A:$A,0))+波次!I12*INDEX(敌人!$G:$G,MATCH("rain",敌人!$A:$A,0))+波次!J12*INDEX(敌人!$G:$G,MATCH("hop",敌人!$A:$A,0))+波次!K12*INDEX(敌人!$G:$G,MATCH("phones",敌人!$A:$A,0))+波次!L12*INDEX(敌人!$G:$G,MATCH("whale",敌人!$A:$A,0))</f>
        <v/>
      </c>
      <c r="E12" s="9">
        <f>E11+D11+INDEX(全局!$B:$B,MATCH("waveReward",全局!$A:$A,0))</f>
        <v/>
      </c>
      <c r="F12" s="13">
        <f>B12*MAX(INDEX(全局!$B:$B,MATCH("spawnMin",全局!$A:$A,0)),INDEX(全局!$B:$B,MATCH("spawnBase",全局!$A:$A,0))-A12*INDEX(全局!$B:$B,MATCH("spawnPerWave",全局!$A:$A,0)))+$N$5/$N$6</f>
        <v/>
      </c>
      <c r="G12" s="12">
        <f>C12/F12</f>
        <v/>
      </c>
      <c r="H12" s="12">
        <f>E12*$N$7</f>
        <v/>
      </c>
      <c r="I12" s="14">
        <f>G12/H12</f>
        <v/>
      </c>
      <c r="J12" s="15">
        <f>I12/I11-1</f>
        <v/>
      </c>
    </row>
    <row r="13">
      <c r="A13" s="9">
        <f>波次!A13</f>
        <v/>
      </c>
      <c r="B13" s="9">
        <f>波次!M13</f>
        <v/>
      </c>
      <c r="C13" s="12">
        <f>波次!B13*波次!D13+波次!C13*波次!E13*$N$3+波次!F13*波次!G13+(波次!I13*INDEX(全局!$B:$B,MATCH("hpRain",全局!$A:$A,0))+波次!J13*INDEX(全局!$B:$B,MATCH("hpHop",全局!$A:$A,0))+波次!K13*INDEX(全局!$B:$B,MATCH("hpPhones",全局!$A:$A,0)))*波次!D13+波次!L13*波次!E13*INDEX(全局!$B:$B,MATCH("hpWhale",全局!$A:$A,0))*$N$4</f>
        <v/>
      </c>
      <c r="D13" s="9">
        <f>波次!B13*INDEX(敌人!$G:$G,MATCH("norm",敌人!$A:$A,0))+波次!C13*INDEX(敌人!$G:$G,MATCH("arm",敌人!$A:$A,0))+波次!F13*INDEX(敌人!$G:$G,MATCH("boss",敌人!$A:$A,0))+波次!I13*INDEX(敌人!$G:$G,MATCH("rain",敌人!$A:$A,0))+波次!J13*INDEX(敌人!$G:$G,MATCH("hop",敌人!$A:$A,0))+波次!K13*INDEX(敌人!$G:$G,MATCH("phones",敌人!$A:$A,0))+波次!L13*INDEX(敌人!$G:$G,MATCH("whale",敌人!$A:$A,0))</f>
        <v/>
      </c>
      <c r="E13" s="9">
        <f>E12+D12+INDEX(全局!$B:$B,MATCH("waveReward",全局!$A:$A,0))</f>
        <v/>
      </c>
      <c r="F13" s="13">
        <f>B13*MAX(INDEX(全局!$B:$B,MATCH("spawnMin",全局!$A:$A,0)),INDEX(全局!$B:$B,MATCH("spawnBase",全局!$A:$A,0))-A13*INDEX(全局!$B:$B,MATCH("spawnPerWave",全局!$A:$A,0)))+$N$5/$N$6</f>
        <v/>
      </c>
      <c r="G13" s="12">
        <f>C13/F13</f>
        <v/>
      </c>
      <c r="H13" s="12">
        <f>E13*$N$7</f>
        <v/>
      </c>
      <c r="I13" s="14">
        <f>G13/H13</f>
        <v/>
      </c>
      <c r="J13" s="15">
        <f>I13/I12-1</f>
        <v/>
      </c>
    </row>
    <row r="14">
      <c r="A14" s="9">
        <f>波次!A14</f>
        <v/>
      </c>
      <c r="B14" s="9">
        <f>波次!M14</f>
        <v/>
      </c>
      <c r="C14" s="12">
        <f>波次!B14*波次!D14+波次!C14*波次!E14*$N$3+波次!F14*波次!G14+(波次!I14*INDEX(全局!$B:$B,MATCH("hpRain",全局!$A:$A,0))+波次!J14*INDEX(全局!$B:$B,MATCH("hpHop",全局!$A:$A,0))+波次!K14*INDEX(全局!$B:$B,MATCH("hpPhones",全局!$A:$A,0)))*波次!D14+波次!L14*波次!E14*INDEX(全局!$B:$B,MATCH("hpWhale",全局!$A:$A,0))*$N$4</f>
        <v/>
      </c>
      <c r="D14" s="9">
        <f>波次!B14*INDEX(敌人!$G:$G,MATCH("norm",敌人!$A:$A,0))+波次!C14*INDEX(敌人!$G:$G,MATCH("arm",敌人!$A:$A,0))+波次!F14*INDEX(敌人!$G:$G,MATCH("boss",敌人!$A:$A,0))+波次!I14*INDEX(敌人!$G:$G,MATCH("rain",敌人!$A:$A,0))+波次!J14*INDEX(敌人!$G:$G,MATCH("hop",敌人!$A:$A,0))+波次!K14*INDEX(敌人!$G:$G,MATCH("phones",敌人!$A:$A,0))+波次!L14*INDEX(敌人!$G:$G,MATCH("whale",敌人!$A:$A,0))</f>
        <v/>
      </c>
      <c r="E14" s="9">
        <f>E13+D13+INDEX(全局!$B:$B,MATCH("waveReward",全局!$A:$A,0))</f>
        <v/>
      </c>
      <c r="F14" s="13">
        <f>B14*MAX(INDEX(全局!$B:$B,MATCH("spawnMin",全局!$A:$A,0)),INDEX(全局!$B:$B,MATCH("spawnBase",全局!$A:$A,0))-A14*INDEX(全局!$B:$B,MATCH("spawnPerWave",全局!$A:$A,0)))+$N$5/$N$6</f>
        <v/>
      </c>
      <c r="G14" s="12">
        <f>C14/F14</f>
        <v/>
      </c>
      <c r="H14" s="12">
        <f>E14*$N$7</f>
        <v/>
      </c>
      <c r="I14" s="14">
        <f>G14/H14</f>
        <v/>
      </c>
      <c r="J14" s="15">
        <f>I14/I13-1</f>
        <v/>
      </c>
    </row>
    <row r="15">
      <c r="A15" s="9">
        <f>波次!A15</f>
        <v/>
      </c>
      <c r="B15" s="9">
        <f>波次!M15</f>
        <v/>
      </c>
      <c r="C15" s="12">
        <f>波次!B15*波次!D15+波次!C15*波次!E15*$N$3+波次!F15*波次!G15+(波次!I15*INDEX(全局!$B:$B,MATCH("hpRain",全局!$A:$A,0))+波次!J15*INDEX(全局!$B:$B,MATCH("hpHop",全局!$A:$A,0))+波次!K15*INDEX(全局!$B:$B,MATCH("hpPhones",全局!$A:$A,0)))*波次!D15+波次!L15*波次!E15*INDEX(全局!$B:$B,MATCH("hpWhale",全局!$A:$A,0))*$N$4</f>
        <v/>
      </c>
      <c r="D15" s="9">
        <f>波次!B15*INDEX(敌人!$G:$G,MATCH("norm",敌人!$A:$A,0))+波次!C15*INDEX(敌人!$G:$G,MATCH("arm",敌人!$A:$A,0))+波次!F15*INDEX(敌人!$G:$G,MATCH("boss",敌人!$A:$A,0))+波次!I15*INDEX(敌人!$G:$G,MATCH("rain",敌人!$A:$A,0))+波次!J15*INDEX(敌人!$G:$G,MATCH("hop",敌人!$A:$A,0))+波次!K15*INDEX(敌人!$G:$G,MATCH("phones",敌人!$A:$A,0))+波次!L15*INDEX(敌人!$G:$G,MATCH("whale",敌人!$A:$A,0))</f>
        <v/>
      </c>
      <c r="E15" s="9">
        <f>E14+D14+INDEX(全局!$B:$B,MATCH("waveReward",全局!$A:$A,0))</f>
        <v/>
      </c>
      <c r="F15" s="13">
        <f>B15*MAX(INDEX(全局!$B:$B,MATCH("spawnMin",全局!$A:$A,0)),INDEX(全局!$B:$B,MATCH("spawnBase",全局!$A:$A,0))-A15*INDEX(全局!$B:$B,MATCH("spawnPerWave",全局!$A:$A,0)))+$N$5/$N$6</f>
        <v/>
      </c>
      <c r="G15" s="12">
        <f>C15/F15</f>
        <v/>
      </c>
      <c r="H15" s="12">
        <f>E15*$N$7</f>
        <v/>
      </c>
      <c r="I15" s="14">
        <f>G15/H15</f>
        <v/>
      </c>
      <c r="J15" s="15">
        <f>I15/I14-1</f>
        <v/>
      </c>
    </row>
    <row r="16">
      <c r="A16" s="9">
        <f>波次!A16</f>
        <v/>
      </c>
      <c r="B16" s="9">
        <f>波次!M16</f>
        <v/>
      </c>
      <c r="C16" s="12">
        <f>波次!B16*波次!D16+波次!C16*波次!E16*$N$3+波次!F16*波次!G16+(波次!I16*INDEX(全局!$B:$B,MATCH("hpRain",全局!$A:$A,0))+波次!J16*INDEX(全局!$B:$B,MATCH("hpHop",全局!$A:$A,0))+波次!K16*INDEX(全局!$B:$B,MATCH("hpPhones",全局!$A:$A,0)))*波次!D16+波次!L16*波次!E16*INDEX(全局!$B:$B,MATCH("hpWhale",全局!$A:$A,0))*$N$4</f>
        <v/>
      </c>
      <c r="D16" s="9">
        <f>波次!B16*INDEX(敌人!$G:$G,MATCH("norm",敌人!$A:$A,0))+波次!C16*INDEX(敌人!$G:$G,MATCH("arm",敌人!$A:$A,0))+波次!F16*INDEX(敌人!$G:$G,MATCH("boss",敌人!$A:$A,0))+波次!I16*INDEX(敌人!$G:$G,MATCH("rain",敌人!$A:$A,0))+波次!J16*INDEX(敌人!$G:$G,MATCH("hop",敌人!$A:$A,0))+波次!K16*INDEX(敌人!$G:$G,MATCH("phones",敌人!$A:$A,0))+波次!L16*INDEX(敌人!$G:$G,MATCH("whale",敌人!$A:$A,0))</f>
        <v/>
      </c>
      <c r="E16" s="9">
        <f>E15+D15+INDEX(全局!$B:$B,MATCH("waveReward",全局!$A:$A,0))</f>
        <v/>
      </c>
      <c r="F16" s="13">
        <f>B16*MAX(INDEX(全局!$B:$B,MATCH("spawnMin",全局!$A:$A,0)),INDEX(全局!$B:$B,MATCH("spawnBase",全局!$A:$A,0))-A16*INDEX(全局!$B:$B,MATCH("spawnPerWave",全局!$A:$A,0)))+$N$5/$N$6</f>
        <v/>
      </c>
      <c r="G16" s="12">
        <f>C16/F16</f>
        <v/>
      </c>
      <c r="H16" s="12">
        <f>E16*$N$7</f>
        <v/>
      </c>
      <c r="I16" s="14">
        <f>G16/H16</f>
        <v/>
      </c>
      <c r="J16" s="15">
        <f>I16/I15-1</f>
        <v/>
      </c>
    </row>
    <row r="17">
      <c r="A17" s="9">
        <f>波次!A17</f>
        <v/>
      </c>
      <c r="B17" s="9">
        <f>波次!M17</f>
        <v/>
      </c>
      <c r="C17" s="12">
        <f>波次!B17*波次!D17+波次!C17*波次!E17*$N$3+波次!F17*波次!G17+(波次!I17*INDEX(全局!$B:$B,MATCH("hpRain",全局!$A:$A,0))+波次!J17*INDEX(全局!$B:$B,MATCH("hpHop",全局!$A:$A,0))+波次!K17*INDEX(全局!$B:$B,MATCH("hpPhones",全局!$A:$A,0)))*波次!D17+波次!L17*波次!E17*INDEX(全局!$B:$B,MATCH("hpWhale",全局!$A:$A,0))*$N$4</f>
        <v/>
      </c>
      <c r="D17" s="9">
        <f>波次!B17*INDEX(敌人!$G:$G,MATCH("norm",敌人!$A:$A,0))+波次!C17*INDEX(敌人!$G:$G,MATCH("arm",敌人!$A:$A,0))+波次!F17*INDEX(敌人!$G:$G,MATCH("boss",敌人!$A:$A,0))+波次!I17*INDEX(敌人!$G:$G,MATCH("rain",敌人!$A:$A,0))+波次!J17*INDEX(敌人!$G:$G,MATCH("hop",敌人!$A:$A,0))+波次!K17*INDEX(敌人!$G:$G,MATCH("phones",敌人!$A:$A,0))+波次!L17*INDEX(敌人!$G:$G,MATCH("whale",敌人!$A:$A,0))</f>
        <v/>
      </c>
      <c r="E17" s="9">
        <f>E16+D16+INDEX(全局!$B:$B,MATCH("waveReward",全局!$A:$A,0))</f>
        <v/>
      </c>
      <c r="F17" s="13">
        <f>B17*MAX(INDEX(全局!$B:$B,MATCH("spawnMin",全局!$A:$A,0)),INDEX(全局!$B:$B,MATCH("spawnBase",全局!$A:$A,0))-A17*INDEX(全局!$B:$B,MATCH("spawnPerWave",全局!$A:$A,0)))+$N$5/$N$6</f>
        <v/>
      </c>
      <c r="G17" s="12">
        <f>C17/F17</f>
        <v/>
      </c>
      <c r="H17" s="12">
        <f>E17*$N$7</f>
        <v/>
      </c>
      <c r="I17" s="14">
        <f>G17/H17</f>
        <v/>
      </c>
      <c r="J17" s="15">
        <f>I17/I16-1</f>
        <v/>
      </c>
    </row>
    <row r="19">
      <c r="A19" s="10" t="inlineStr">
        <is>
          <t>怎么看：压力系数 = 这一波需要的输出 ÷ 按累计 GST 估出来的可用输出。绿色在目标区间，红色太难，黄色太轻松。</t>
        </is>
      </c>
    </row>
    <row r="20">
      <c r="A20" s="10" t="inlineStr">
        <is>
          <t>理想曲线：前几波偏低让玩家站稳，之后缓慢上升；「较上一波」超过 +30% 会标红，代表难度突然跳一大截。</t>
        </is>
      </c>
    </row>
    <row r="21">
      <c r="A21" s="10" t="inlineStr">
        <is>
          <t>这是粗估：没算神秘箱卡牌、组合和矿机，所以只看相对走势，不看绝对值。改了「波次」「敌人」「全局」表，这里会自动重算。</t>
        </is>
      </c>
    </row>
  </sheetData>
  <conditionalFormatting sqref="I3:I17">
    <cfRule type="cellIs" priority="1" operator="greaterThan" dxfId="0">
      <formula>$N$8</formula>
    </cfRule>
    <cfRule type="cellIs" priority="2" operator="lessThan" dxfId="1">
      <formula>$N$9</formula>
    </cfRule>
    <cfRule type="cellIs" priority="3" operator="between" dxfId="2">
      <formula>$N$9</formula>
      <formula>$N$8</formula>
    </cfRule>
  </conditionalFormatting>
  <conditionalFormatting sqref="J4:J17">
    <cfRule type="cellIs" priority="4" operator="greaterThan" dxfId="0">
      <formula>0.3</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O103"/>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6" customWidth="1" min="3" max="3"/>
    <col width="14" customWidth="1" min="4" max="4"/>
    <col width="9" customWidth="1" min="5" max="5"/>
    <col width="9" customWidth="1" min="6" max="6"/>
    <col width="12" customWidth="1" min="7" max="7"/>
    <col width="12" customWidth="1" min="8" max="8"/>
    <col width="16" customWidth="1" min="9" max="9"/>
    <col width="13" customWidth="1" min="10" max="10"/>
    <col width="16" customWidth="1" min="11" max="11"/>
    <col width="16" customWidth="1" min="12" max="12"/>
    <col width="10" customWidth="1" min="13" max="13"/>
    <col width="16" customWidth="1" min="14" max="14"/>
    <col width="30" customWidth="1" min="15" max="15"/>
  </cols>
  <sheetData>
    <row r="1" ht="30" customHeight="1">
      <c r="A1" s="4" t="inlineStr">
        <is>
          <t>装置</t>
        </is>
      </c>
      <c r="B1" s="4" t="inlineStr">
        <is>
          <t>路线（0=基础）</t>
        </is>
      </c>
      <c r="C1" s="4" t="inlineStr">
        <is>
          <t>等级</t>
        </is>
      </c>
      <c r="D1" s="4" t="inlineStr">
        <is>
          <t>名称</t>
        </is>
      </c>
      <c r="E1" s="4" t="inlineStr">
        <is>
          <t>本级价格</t>
        </is>
      </c>
      <c r="F1" s="4" t="inlineStr">
        <is>
          <t>累计花费</t>
        </is>
      </c>
      <c r="G1" s="4" t="inlineStr">
        <is>
          <t>估算输出（HP/秒）</t>
        </is>
      </c>
      <c r="H1" s="4" t="inlineStr">
        <is>
          <t>每 100 GST 输出</t>
        </is>
      </c>
      <c r="I1" s="4" t="inlineStr">
        <is>
          <t>比同价多买基础塔（估算）</t>
        </is>
      </c>
      <c r="J1" s="4" t="inlineStr">
        <is>
          <t>本级边际性价比</t>
        </is>
      </c>
      <c r="K1" s="4" t="inlineStr">
        <is>
          <t>实测：本配置清除体力比例</t>
        </is>
      </c>
      <c r="L1" s="4" t="inlineStr">
        <is>
          <t>实测：同价基础塔清除比例</t>
        </is>
      </c>
      <c r="M1" s="4" t="inlineStr">
        <is>
          <t>实测比值</t>
        </is>
      </c>
      <c r="N1" s="4" t="inlineStr">
        <is>
          <t>功能型效果</t>
        </is>
      </c>
      <c r="O1" s="4" t="inlineStr">
        <is>
          <t>结论</t>
        </is>
      </c>
    </row>
    <row r="2">
      <c r="A2" s="5" t="inlineStr"/>
      <c r="B2" s="5" t="inlineStr"/>
      <c r="C2" s="5" t="inlineStr"/>
      <c r="D2" s="5" t="inlineStr"/>
      <c r="E2" s="5" t="inlineStr"/>
      <c r="F2" s="5" t="inlineStr"/>
      <c r="G2" s="5" t="inlineStr"/>
      <c r="H2" s="5" t="inlineStr"/>
      <c r="I2" s="5" t="inlineStr"/>
      <c r="J2" s="5" t="inlineStr"/>
      <c r="K2" s="5" t="inlineStr"/>
      <c r="L2" s="5" t="inlineStr"/>
      <c r="M2" s="5" t="inlineStr"/>
      <c r="N2" s="5" t="inlineStr"/>
      <c r="O2" s="5" t="inlineStr"/>
    </row>
    <row r="3">
      <c r="A3" s="9" t="inlineStr">
        <is>
          <t>dart</t>
        </is>
      </c>
      <c r="B3" s="9" t="n">
        <v>0</v>
      </c>
      <c r="C3" s="9" t="n">
        <v>0</v>
      </c>
      <c r="D3" s="9" t="inlineStr">
        <is>
          <t>基础</t>
        </is>
      </c>
      <c r="E3" s="9" t="n">
        <v>100</v>
      </c>
      <c r="F3" s="9" t="n">
        <v>100</v>
      </c>
      <c r="G3" s="9" t="n">
        <v>2.24</v>
      </c>
      <c r="H3" s="14">
        <f>G3/F3*100</f>
        <v/>
      </c>
      <c r="I3" s="14">
        <f>IFERROR((G3/F3)/(SUMIFS($G$3:$G$98,$A$3:$A$98,A3,$B$3:$B$98,0)/SUMIFS($F$3:$F$98,$A$3:$A$98,A3,$B$3:$B$98,0)),"")</f>
        <v/>
      </c>
      <c r="J3" s="14">
        <f>IF(B3=0,1,IF(C3&lt;=1,G3-SUMIFS($G$3:$G$98,$A$3:$A$98,A3,$B$3:$B$98,0),G3-G2)/E3/(SUMIFS($G$3:$G$98,$A$3:$A$98,A3,$B$3:$B$98,0)/SUMIFS($F$3:$F$98,$A$3:$A$98,A3,$B$3:$B$98,0)))</f>
        <v/>
      </c>
      <c r="K3" s="9" t="n"/>
      <c r="L3" s="9" t="n"/>
      <c r="M3" s="14">
        <f>IF(OR(K3="",L3="",L3=0),"",K3/L3)</f>
        <v/>
      </c>
      <c r="N3" s="9" t="inlineStr"/>
      <c r="O3" s="9">
        <f>IF(B3=0,"基准",IF(AND(N3&lt;&gt;"",I3&lt;0.85),"功能型：单看输出偏低属正常",IF(I3&gt;=0.85,"划算",IF(I3&gt;=0.65,"略亏：空位紧张时仍值得","偏亏：建议降价或加强"))))</f>
        <v/>
      </c>
    </row>
    <row r="4">
      <c r="A4" s="9" t="inlineStr">
        <is>
          <t>dart</t>
        </is>
      </c>
      <c r="B4" s="9" t="n">
        <v>1</v>
      </c>
      <c r="C4" s="9" t="n">
        <v>1</v>
      </c>
      <c r="D4" s="9" t="inlineStr">
        <is>
          <t>加料汽水罐</t>
        </is>
      </c>
      <c r="E4" s="9" t="n">
        <v>70</v>
      </c>
      <c r="F4" s="9" t="n">
        <v>170</v>
      </c>
      <c r="G4" s="9" t="n">
        <v>4.48</v>
      </c>
      <c r="H4" s="14">
        <f>G4/F4*100</f>
        <v/>
      </c>
      <c r="I4" s="14">
        <f>IFERROR((G4/F4)/(SUMIFS($G$3:$G$98,$A$3:$A$98,A4,$B$3:$B$98,0)/SUMIFS($F$3:$F$98,$A$3:$A$98,A4,$B$3:$B$98,0)),"")</f>
        <v/>
      </c>
      <c r="J4" s="14">
        <f>IF(B4=0,1,IF(C4&lt;=1,G4-SUMIFS($G$3:$G$98,$A$3:$A$98,A4,$B$3:$B$98,0),G4-G3)/E4/(SUMIFS($G$3:$G$98,$A$3:$A$98,A4,$B$3:$B$98,0)/SUMIFS($F$3:$F$98,$A$3:$A$98,A4,$B$3:$B$98,0)))</f>
        <v/>
      </c>
      <c r="K4" s="9" t="n">
        <v>0.449</v>
      </c>
      <c r="L4" s="9" t="n">
        <v>0.36</v>
      </c>
      <c r="M4" s="14">
        <f>IF(OR(K4="",L4="",L4=0),"",K4/L4)</f>
        <v/>
      </c>
      <c r="N4" s="9" t="inlineStr"/>
      <c r="O4" s="9">
        <f>IF(B4=0,"基准",IF(AND(N4&lt;&gt;"",I4&lt;0.85),"功能型：单看输出偏低属正常",IF(I4&gt;=0.85,"划算",IF(I4&gt;=0.65,"略亏：空位紧张时仍值得","偏亏：建议降价或加强"))))</f>
        <v/>
      </c>
    </row>
    <row r="5">
      <c r="A5" s="9" t="inlineStr">
        <is>
          <t>dart</t>
        </is>
      </c>
      <c r="B5" s="9" t="n">
        <v>1</v>
      </c>
      <c r="C5" s="9" t="n">
        <v>2</v>
      </c>
      <c r="D5" s="9" t="inlineStr">
        <is>
          <t>铁皮罐</t>
        </is>
      </c>
      <c r="E5" s="9" t="n">
        <v>120</v>
      </c>
      <c r="F5" s="9" t="n">
        <v>290</v>
      </c>
      <c r="G5" s="9" t="n">
        <v>4.48</v>
      </c>
      <c r="H5" s="14">
        <f>G5/F5*100</f>
        <v/>
      </c>
      <c r="I5" s="14">
        <f>IFERROR((G5/F5)/(SUMIFS($G$3:$G$98,$A$3:$A$98,A5,$B$3:$B$98,0)/SUMIFS($F$3:$F$98,$A$3:$A$98,A5,$B$3:$B$98,0)),"")</f>
        <v/>
      </c>
      <c r="J5" s="14">
        <f>IF(B5=0,1,IF(C5&lt;=1,G5-SUMIFS($G$3:$G$98,$A$3:$A$98,A5,$B$3:$B$98,0),G5-G4)/E5/(SUMIFS($G$3:$G$98,$A$3:$A$98,A5,$B$3:$B$98,0)/SUMIFS($F$3:$F$98,$A$3:$A$98,A5,$B$3:$B$98,0)))</f>
        <v/>
      </c>
      <c r="K5" s="9" t="n">
        <v>0.456</v>
      </c>
      <c r="L5" s="9" t="n">
        <v>0.5649999999999999</v>
      </c>
      <c r="M5" s="14">
        <f>IF(OR(K5="",L5="",L5=0),"",K5/L5)</f>
        <v/>
      </c>
      <c r="N5" s="9" t="inlineStr">
        <is>
          <t>破甲</t>
        </is>
      </c>
      <c r="O5" s="9">
        <f>IF(B5=0,"基准",IF(AND(N5&lt;&gt;"",I5&lt;0.85),"功能型：单看输出偏低属正常",IF(I5&gt;=0.85,"划算",IF(I5&gt;=0.65,"略亏：空位紧张时仍值得","偏亏：建议降价或加强"))))</f>
        <v/>
      </c>
    </row>
    <row r="6">
      <c r="A6" s="9" t="inlineStr">
        <is>
          <t>dart</t>
        </is>
      </c>
      <c r="B6" s="9" t="n">
        <v>1</v>
      </c>
      <c r="C6" s="9" t="n">
        <v>3</v>
      </c>
      <c r="D6" s="9" t="inlineStr">
        <is>
          <t>实心铁罐</t>
        </is>
      </c>
      <c r="E6" s="9" t="n">
        <v>260</v>
      </c>
      <c r="F6" s="9" t="n">
        <v>550</v>
      </c>
      <c r="G6" s="9" t="n">
        <v>11.2</v>
      </c>
      <c r="H6" s="14">
        <f>G6/F6*100</f>
        <v/>
      </c>
      <c r="I6" s="14">
        <f>IFERROR((G6/F6)/(SUMIFS($G$3:$G$98,$A$3:$A$98,A6,$B$3:$B$98,0)/SUMIFS($F$3:$F$98,$A$3:$A$98,A6,$B$3:$B$98,0)),"")</f>
        <v/>
      </c>
      <c r="J6" s="14">
        <f>IF(B6=0,1,IF(C6&lt;=1,G6-SUMIFS($G$3:$G$98,$A$3:$A$98,A6,$B$3:$B$98,0),G6-G5)/E6/(SUMIFS($G$3:$G$98,$A$3:$A$98,A6,$B$3:$B$98,0)/SUMIFS($F$3:$F$98,$A$3:$A$98,A6,$B$3:$B$98,0)))</f>
        <v/>
      </c>
      <c r="K6" s="9" t="n">
        <v>0.785</v>
      </c>
      <c r="L6" s="9" t="n">
        <v>0.795</v>
      </c>
      <c r="M6" s="14">
        <f>IF(OR(K6="",L6="",L6=0),"",K6/L6)</f>
        <v/>
      </c>
      <c r="N6" s="9" t="inlineStr">
        <is>
          <t>破甲</t>
        </is>
      </c>
      <c r="O6" s="9">
        <f>IF(B6=0,"基准",IF(AND(N6&lt;&gt;"",I6&lt;0.85),"功能型：单看输出偏低属正常",IF(I6&gt;=0.85,"划算",IF(I6&gt;=0.65,"略亏：空位紧张时仍值得","偏亏：建议降价或加强"))))</f>
        <v/>
      </c>
    </row>
    <row r="7">
      <c r="A7" s="9" t="inlineStr">
        <is>
          <t>dart</t>
        </is>
      </c>
      <c r="B7" s="9" t="n">
        <v>1</v>
      </c>
      <c r="C7" s="9" t="n">
        <v>4</v>
      </c>
      <c r="D7" s="9" t="inlineStr">
        <is>
          <t>罐头炮</t>
        </is>
      </c>
      <c r="E7" s="9" t="n">
        <v>600</v>
      </c>
      <c r="F7" s="9" t="n">
        <v>1150</v>
      </c>
      <c r="G7" s="9" t="n">
        <v>22.4</v>
      </c>
      <c r="H7" s="14">
        <f>G7/F7*100</f>
        <v/>
      </c>
      <c r="I7" s="14">
        <f>IFERROR((G7/F7)/(SUMIFS($G$3:$G$98,$A$3:$A$98,A7,$B$3:$B$98,0)/SUMIFS($F$3:$F$98,$A$3:$A$98,A7,$B$3:$B$98,0)),"")</f>
        <v/>
      </c>
      <c r="J7" s="14">
        <f>IF(B7=0,1,IF(C7&lt;=1,G7-SUMIFS($G$3:$G$98,$A$3:$A$98,A7,$B$3:$B$98,0),G7-G6)/E7/(SUMIFS($G$3:$G$98,$A$3:$A$98,A7,$B$3:$B$98,0)/SUMIFS($F$3:$F$98,$A$3:$A$98,A7,$B$3:$B$98,0)))</f>
        <v/>
      </c>
      <c r="K7" s="9" t="n">
        <v>1</v>
      </c>
      <c r="L7" s="9" t="n">
        <v>1</v>
      </c>
      <c r="M7" s="14">
        <f>IF(OR(K7="",L7="",L7=0),"",K7/L7)</f>
        <v/>
      </c>
      <c r="N7" s="9" t="inlineStr">
        <is>
          <t>对 Boss</t>
        </is>
      </c>
      <c r="O7" s="9">
        <f>IF(B7=0,"基准",IF(AND(N7&lt;&gt;"",I7&lt;0.85),"功能型：单看输出偏低属正常",IF(I7&gt;=0.85,"划算",IF(I7&gt;=0.65,"略亏：空位紧张时仍值得","偏亏：建议降价或加强"))))</f>
        <v/>
      </c>
    </row>
    <row r="8">
      <c r="A8" s="9" t="inlineStr">
        <is>
          <t>dart</t>
        </is>
      </c>
      <c r="B8" s="9" t="n">
        <v>1</v>
      </c>
      <c r="C8" s="9" t="n">
        <v>5</v>
      </c>
      <c r="D8" s="9" t="inlineStr">
        <is>
          <t>大桶可乐</t>
        </is>
      </c>
      <c r="E8" s="9" t="n">
        <v>1400</v>
      </c>
      <c r="F8" s="9" t="n">
        <v>2550</v>
      </c>
      <c r="G8" s="9" t="n">
        <v>53.76</v>
      </c>
      <c r="H8" s="14">
        <f>G8/F8*100</f>
        <v/>
      </c>
      <c r="I8" s="14">
        <f>IFERROR((G8/F8)/(SUMIFS($G$3:$G$98,$A$3:$A$98,A8,$B$3:$B$98,0)/SUMIFS($F$3:$F$98,$A$3:$A$98,A8,$B$3:$B$98,0)),"")</f>
        <v/>
      </c>
      <c r="J8" s="14">
        <f>IF(B8=0,1,IF(C8&lt;=1,G8-SUMIFS($G$3:$G$98,$A$3:$A$98,A8,$B$3:$B$98,0),G8-G7)/E8/(SUMIFS($G$3:$G$98,$A$3:$A$98,A8,$B$3:$B$98,0)/SUMIFS($F$3:$F$98,$A$3:$A$98,A8,$B$3:$B$98,0)))</f>
        <v/>
      </c>
      <c r="K8" s="9" t="n"/>
      <c r="L8" s="9" t="n"/>
      <c r="M8" s="14">
        <f>IF(OR(K8="",L8="",L8=0),"",K8/L8)</f>
        <v/>
      </c>
      <c r="N8" s="9" t="inlineStr"/>
      <c r="O8" s="9">
        <f>IF(B8=0,"基准",IF(AND(N8&lt;&gt;"",I8&lt;0.85),"功能型：单看输出偏低属正常",IF(I8&gt;=0.85,"划算",IF(I8&gt;=0.65,"略亏：空位紧张时仍值得","偏亏：建议降价或加强"))))</f>
        <v/>
      </c>
    </row>
    <row r="9">
      <c r="A9" s="9" t="inlineStr">
        <is>
          <t>dart</t>
        </is>
      </c>
      <c r="B9" s="9" t="n">
        <v>2</v>
      </c>
      <c r="C9" s="9" t="n">
        <v>1</v>
      </c>
      <c r="D9" s="9" t="inlineStr">
        <is>
          <t>快手</t>
        </is>
      </c>
      <c r="E9" s="9" t="n">
        <v>40</v>
      </c>
      <c r="F9" s="9" t="n">
        <v>140</v>
      </c>
      <c r="G9" s="9" t="n">
        <v>2.99</v>
      </c>
      <c r="H9" s="14">
        <f>G9/F9*100</f>
        <v/>
      </c>
      <c r="I9" s="14">
        <f>IFERROR((G9/F9)/(SUMIFS($G$3:$G$98,$A$3:$A$98,A9,$B$3:$B$98,0)/SUMIFS($F$3:$F$98,$A$3:$A$98,A9,$B$3:$B$98,0)),"")</f>
        <v/>
      </c>
      <c r="J9" s="14">
        <f>IF(B9=0,1,IF(C9&lt;=1,G9-SUMIFS($G$3:$G$98,$A$3:$A$98,A9,$B$3:$B$98,0),G9-G8)/E9/(SUMIFS($G$3:$G$98,$A$3:$A$98,A9,$B$3:$B$98,0)/SUMIFS($F$3:$F$98,$A$3:$A$98,A9,$B$3:$B$98,0)))</f>
        <v/>
      </c>
      <c r="K9" s="9" t="n">
        <v>0.255</v>
      </c>
      <c r="L9" s="9" t="n">
        <v>0.306</v>
      </c>
      <c r="M9" s="14">
        <f>IF(OR(K9="",L9="",L9=0),"",K9/L9)</f>
        <v/>
      </c>
      <c r="N9" s="9" t="inlineStr"/>
      <c r="O9" s="9">
        <f>IF(B9=0,"基准",IF(AND(N9&lt;&gt;"",I9&lt;0.85),"功能型：单看输出偏低属正常",IF(I9&gt;=0.85,"划算",IF(I9&gt;=0.65,"略亏：空位紧张时仍值得","偏亏：建议降价或加强"))))</f>
        <v/>
      </c>
    </row>
    <row r="10">
      <c r="A10" s="9" t="inlineStr">
        <is>
          <t>dart</t>
        </is>
      </c>
      <c r="B10" s="9" t="n">
        <v>2</v>
      </c>
      <c r="C10" s="9" t="n">
        <v>2</v>
      </c>
      <c r="D10" s="9" t="inlineStr">
        <is>
          <t>双手投</t>
        </is>
      </c>
      <c r="E10" s="9" t="n">
        <v>70</v>
      </c>
      <c r="F10" s="9" t="n">
        <v>210</v>
      </c>
      <c r="G10" s="9" t="n">
        <v>3.98</v>
      </c>
      <c r="H10" s="14">
        <f>G10/F10*100</f>
        <v/>
      </c>
      <c r="I10" s="14">
        <f>IFERROR((G10/F10)/(SUMIFS($G$3:$G$98,$A$3:$A$98,A10,$B$3:$B$98,0)/SUMIFS($F$3:$F$98,$A$3:$A$98,A10,$B$3:$B$98,0)),"")</f>
        <v/>
      </c>
      <c r="J10" s="14">
        <f>IF(B10=0,1,IF(C10&lt;=1,G10-SUMIFS($G$3:$G$98,$A$3:$A$98,A10,$B$3:$B$98,0),G10-G9)/E10/(SUMIFS($G$3:$G$98,$A$3:$A$98,A10,$B$3:$B$98,0)/SUMIFS($F$3:$F$98,$A$3:$A$98,A10,$B$3:$B$98,0)))</f>
        <v/>
      </c>
      <c r="K10" s="9" t="n">
        <v>0.296</v>
      </c>
      <c r="L10" s="9" t="n">
        <v>0.43</v>
      </c>
      <c r="M10" s="14">
        <f>IF(OR(K10="",L10="",L10=0),"",K10/L10)</f>
        <v/>
      </c>
      <c r="N10" s="9" t="inlineStr"/>
      <c r="O10" s="9">
        <f>IF(B10=0,"基准",IF(AND(N10&lt;&gt;"",I10&lt;0.85),"功能型：单看输出偏低属正常",IF(I10&gt;=0.85,"划算",IF(I10&gt;=0.65,"略亏：空位紧张时仍值得","偏亏：建议降价或加强"))))</f>
        <v/>
      </c>
    </row>
    <row r="11">
      <c r="A11" s="9" t="inlineStr">
        <is>
          <t>dart</t>
        </is>
      </c>
      <c r="B11" s="9" t="n">
        <v>2</v>
      </c>
      <c r="C11" s="9" t="n">
        <v>3</v>
      </c>
      <c r="D11" s="9" t="inlineStr">
        <is>
          <t>三连投</t>
        </is>
      </c>
      <c r="E11" s="9" t="n">
        <v>280</v>
      </c>
      <c r="F11" s="9" t="n">
        <v>490</v>
      </c>
      <c r="G11" s="9" t="n">
        <v>11.95</v>
      </c>
      <c r="H11" s="14">
        <f>G11/F11*100</f>
        <v/>
      </c>
      <c r="I11" s="14">
        <f>IFERROR((G11/F11)/(SUMIFS($G$3:$G$98,$A$3:$A$98,A11,$B$3:$B$98,0)/SUMIFS($F$3:$F$98,$A$3:$A$98,A11,$B$3:$B$98,0)),"")</f>
        <v/>
      </c>
      <c r="J11" s="14">
        <f>IF(B11=0,1,IF(C11&lt;=1,G11-SUMIFS($G$3:$G$98,$A$3:$A$98,A11,$B$3:$B$98,0),G11-G10)/E11/(SUMIFS($G$3:$G$98,$A$3:$A$98,A11,$B$3:$B$98,0)/SUMIFS($F$3:$F$98,$A$3:$A$98,A11,$B$3:$B$98,0)))</f>
        <v/>
      </c>
      <c r="K11" s="9" t="n">
        <v>0.772</v>
      </c>
      <c r="L11" s="9" t="n">
        <v>0.763</v>
      </c>
      <c r="M11" s="14">
        <f>IF(OR(K11="",L11="",L11=0),"",K11/L11)</f>
        <v/>
      </c>
      <c r="N11" s="9" t="inlineStr"/>
      <c r="O11" s="9">
        <f>IF(B11=0,"基准",IF(AND(N11&lt;&gt;"",I11&lt;0.85),"功能型：单看输出偏低属正常",IF(I11&gt;=0.85,"划算",IF(I11&gt;=0.65,"略亏：空位紧张时仍值得","偏亏：建议降价或加强"))))</f>
        <v/>
      </c>
    </row>
    <row r="12">
      <c r="A12" s="9" t="inlineStr">
        <is>
          <t>dart</t>
        </is>
      </c>
      <c r="B12" s="9" t="n">
        <v>2</v>
      </c>
      <c r="C12" s="9" t="n">
        <v>4</v>
      </c>
      <c r="D12" s="9" t="inlineStr">
        <is>
          <t>自动投罐机</t>
        </is>
      </c>
      <c r="E12" s="9" t="n">
        <v>650</v>
      </c>
      <c r="F12" s="9" t="n">
        <v>1140</v>
      </c>
      <c r="G12" s="9" t="n">
        <v>23.89</v>
      </c>
      <c r="H12" s="14">
        <f>G12/F12*100</f>
        <v/>
      </c>
      <c r="I12" s="14">
        <f>IFERROR((G12/F12)/(SUMIFS($G$3:$G$98,$A$3:$A$98,A12,$B$3:$B$98,0)/SUMIFS($F$3:$F$98,$A$3:$A$98,A12,$B$3:$B$98,0)),"")</f>
        <v/>
      </c>
      <c r="J12" s="14">
        <f>IF(B12=0,1,IF(C12&lt;=1,G12-SUMIFS($G$3:$G$98,$A$3:$A$98,A12,$B$3:$B$98,0),G12-G11)/E12/(SUMIFS($G$3:$G$98,$A$3:$A$98,A12,$B$3:$B$98,0)/SUMIFS($F$3:$F$98,$A$3:$A$98,A12,$B$3:$B$98,0)))</f>
        <v/>
      </c>
      <c r="K12" s="9" t="n">
        <v>0.921</v>
      </c>
      <c r="L12" s="9" t="n">
        <v>1</v>
      </c>
      <c r="M12" s="14">
        <f>IF(OR(K12="",L12="",L12=0),"",K12/L12)</f>
        <v/>
      </c>
      <c r="N12" s="9" t="inlineStr"/>
      <c r="O12" s="9">
        <f>IF(B12=0,"基准",IF(AND(N12&lt;&gt;"",I12&lt;0.85),"功能型：单看输出偏低属正常",IF(I12&gt;=0.85,"划算",IF(I12&gt;=0.65,"略亏：空位紧张时仍值得","偏亏：建议降价或加强"))))</f>
        <v/>
      </c>
    </row>
    <row r="13">
      <c r="A13" s="9" t="inlineStr">
        <is>
          <t>dart</t>
        </is>
      </c>
      <c r="B13" s="9" t="n">
        <v>2</v>
      </c>
      <c r="C13" s="9" t="n">
        <v>5</v>
      </c>
      <c r="D13" s="9" t="inlineStr">
        <is>
          <t>罐头暴雨</t>
        </is>
      </c>
      <c r="E13" s="9" t="n">
        <v>1500</v>
      </c>
      <c r="F13" s="9" t="n">
        <v>2640</v>
      </c>
      <c r="G13" s="9" t="n">
        <v>66.52</v>
      </c>
      <c r="H13" s="14">
        <f>G13/F13*100</f>
        <v/>
      </c>
      <c r="I13" s="14">
        <f>IFERROR((G13/F13)/(SUMIFS($G$3:$G$98,$A$3:$A$98,A13,$B$3:$B$98,0)/SUMIFS($F$3:$F$98,$A$3:$A$98,A13,$B$3:$B$98,0)),"")</f>
        <v/>
      </c>
      <c r="J13" s="14">
        <f>IF(B13=0,1,IF(C13&lt;=1,G13-SUMIFS($G$3:$G$98,$A$3:$A$98,A13,$B$3:$B$98,0),G13-G12)/E13/(SUMIFS($G$3:$G$98,$A$3:$A$98,A13,$B$3:$B$98,0)/SUMIFS($F$3:$F$98,$A$3:$A$98,A13,$B$3:$B$98,0)))</f>
        <v/>
      </c>
      <c r="K13" s="9" t="n"/>
      <c r="L13" s="9" t="n"/>
      <c r="M13" s="14">
        <f>IF(OR(K13="",L13="",L13=0),"",K13/L13)</f>
        <v/>
      </c>
      <c r="N13" s="9" t="inlineStr"/>
      <c r="O13" s="9">
        <f>IF(B13=0,"基准",IF(AND(N13&lt;&gt;"",I13&lt;0.85),"功能型：单看输出偏低属正常",IF(I13&gt;=0.85,"划算",IF(I13&gt;=0.65,"略亏：空位紧张时仍值得","偏亏：建议降价或加强"))))</f>
        <v/>
      </c>
    </row>
    <row r="14">
      <c r="A14" s="9" t="inlineStr">
        <is>
          <t>dart</t>
        </is>
      </c>
      <c r="B14" s="9" t="n">
        <v>3</v>
      </c>
      <c r="C14" s="9" t="n">
        <v>1</v>
      </c>
      <c r="D14" s="9" t="inlineStr">
        <is>
          <t>远投</t>
        </is>
      </c>
      <c r="E14" s="9" t="n">
        <v>50</v>
      </c>
      <c r="F14" s="9" t="n">
        <v>150</v>
      </c>
      <c r="G14" s="9" t="n">
        <v>2.24</v>
      </c>
      <c r="H14" s="14">
        <f>G14/F14*100</f>
        <v/>
      </c>
      <c r="I14" s="14">
        <f>IFERROR((G14/F14)/(SUMIFS($G$3:$G$98,$A$3:$A$98,A14,$B$3:$B$98,0)/SUMIFS($F$3:$F$98,$A$3:$A$98,A14,$B$3:$B$98,0)),"")</f>
        <v/>
      </c>
      <c r="J14" s="14">
        <f>IF(B14=0,1,IF(C14&lt;=1,G14-SUMIFS($G$3:$G$98,$A$3:$A$98,A14,$B$3:$B$98,0),G14-G13)/E14/(SUMIFS($G$3:$G$98,$A$3:$A$98,A14,$B$3:$B$98,0)/SUMIFS($F$3:$F$98,$A$3:$A$98,A14,$B$3:$B$98,0)))</f>
        <v/>
      </c>
      <c r="K14" s="9" t="n">
        <v>0.201</v>
      </c>
      <c r="L14" s="9" t="n">
        <v>0.324</v>
      </c>
      <c r="M14" s="14">
        <f>IF(OR(K14="",L14="",L14=0),"",K14/L14)</f>
        <v/>
      </c>
      <c r="N14" s="9" t="inlineStr"/>
      <c r="O14" s="9">
        <f>IF(B14=0,"基准",IF(AND(N14&lt;&gt;"",I14&lt;0.85),"功能型：单看输出偏低属正常",IF(I14&gt;=0.85,"划算",IF(I14&gt;=0.65,"略亏：空位紧张时仍值得","偏亏：建议降价或加强"))))</f>
        <v/>
      </c>
    </row>
    <row r="15">
      <c r="A15" s="9" t="inlineStr">
        <is>
          <t>dart</t>
        </is>
      </c>
      <c r="B15" s="9" t="n">
        <v>3</v>
      </c>
      <c r="C15" s="9" t="n">
        <v>2</v>
      </c>
      <c r="D15" s="9" t="inlineStr">
        <is>
          <t>精准</t>
        </is>
      </c>
      <c r="E15" s="9" t="n">
        <v>100</v>
      </c>
      <c r="F15" s="9" t="n">
        <v>250</v>
      </c>
      <c r="G15" s="9" t="n">
        <v>2.54</v>
      </c>
      <c r="H15" s="14">
        <f>G15/F15*100</f>
        <v/>
      </c>
      <c r="I15" s="14">
        <f>IFERROR((G15/F15)/(SUMIFS($G$3:$G$98,$A$3:$A$98,A15,$B$3:$B$98,0)/SUMIFS($F$3:$F$98,$A$3:$A$98,A15,$B$3:$B$98,0)),"")</f>
        <v/>
      </c>
      <c r="J15" s="14">
        <f>IF(B15=0,1,IF(C15&lt;=1,G15-SUMIFS($G$3:$G$98,$A$3:$A$98,A15,$B$3:$B$98,0),G15-G14)/E15/(SUMIFS($G$3:$G$98,$A$3:$A$98,A15,$B$3:$B$98,0)/SUMIFS($F$3:$F$98,$A$3:$A$98,A15,$B$3:$B$98,0)))</f>
        <v/>
      </c>
      <c r="K15" s="9" t="n">
        <v>0.281</v>
      </c>
      <c r="L15" s="9" t="n">
        <v>0.497</v>
      </c>
      <c r="M15" s="14">
        <f>IF(OR(K15="",L15="",L15=0),"",K15/L15)</f>
        <v/>
      </c>
      <c r="N15" s="9" t="inlineStr"/>
      <c r="O15" s="9">
        <f>IF(B15=0,"基准",IF(AND(N15&lt;&gt;"",I15&lt;0.85),"功能型：单看输出偏低属正常",IF(I15&gt;=0.85,"划算",IF(I15&gt;=0.65,"略亏：空位紧张时仍值得","偏亏：建议降价或加强"))))</f>
        <v/>
      </c>
    </row>
    <row r="16">
      <c r="A16" s="9" t="inlineStr">
        <is>
          <t>dart</t>
        </is>
      </c>
      <c r="B16" s="9" t="n">
        <v>3</v>
      </c>
      <c r="C16" s="9" t="n">
        <v>3</v>
      </c>
      <c r="D16" s="9" t="inlineStr">
        <is>
          <t>汽水黏鞋</t>
        </is>
      </c>
      <c r="E16" s="9" t="n">
        <v>300</v>
      </c>
      <c r="F16" s="9" t="n">
        <v>550</v>
      </c>
      <c r="G16" s="9" t="n">
        <v>2.54</v>
      </c>
      <c r="H16" s="14">
        <f>G16/F16*100</f>
        <v/>
      </c>
      <c r="I16" s="14">
        <f>IFERROR((G16/F16)/(SUMIFS($G$3:$G$98,$A$3:$A$98,A16,$B$3:$B$98,0)/SUMIFS($F$3:$F$98,$A$3:$A$98,A16,$B$3:$B$98,0)),"")</f>
        <v/>
      </c>
      <c r="J16" s="14">
        <f>IF(B16=0,1,IF(C16&lt;=1,G16-SUMIFS($G$3:$G$98,$A$3:$A$98,A16,$B$3:$B$98,0),G16-G15)/E16/(SUMIFS($G$3:$G$98,$A$3:$A$98,A16,$B$3:$B$98,0)/SUMIFS($F$3:$F$98,$A$3:$A$98,A16,$B$3:$B$98,0)))</f>
        <v/>
      </c>
      <c r="K16" s="9" t="n">
        <v>0.271</v>
      </c>
      <c r="L16" s="9" t="n">
        <v>0.795</v>
      </c>
      <c r="M16" s="14">
        <f>IF(OR(K16="",L16="",L16=0),"",K16/L16)</f>
        <v/>
      </c>
      <c r="N16" s="9" t="inlineStr">
        <is>
          <t>标记增伤</t>
        </is>
      </c>
      <c r="O16" s="9">
        <f>IF(B16=0,"基准",IF(AND(N16&lt;&gt;"",I16&lt;0.85),"功能型：单看输出偏低属正常",IF(I16&gt;=0.85,"划算",IF(I16&gt;=0.65,"略亏：空位紧张时仍值得","偏亏：建议降价或加强"))))</f>
        <v/>
      </c>
    </row>
    <row r="17">
      <c r="A17" s="9" t="inlineStr">
        <is>
          <t>dart</t>
        </is>
      </c>
      <c r="B17" s="9" t="n">
        <v>3</v>
      </c>
      <c r="C17" s="9" t="n">
        <v>4</v>
      </c>
      <c r="D17" s="9" t="inlineStr">
        <is>
          <t>远程狙罐</t>
        </is>
      </c>
      <c r="E17" s="9" t="n">
        <v>700</v>
      </c>
      <c r="F17" s="9" t="n">
        <v>1250</v>
      </c>
      <c r="G17" s="9" t="n">
        <v>3.08</v>
      </c>
      <c r="H17" s="14">
        <f>G17/F17*100</f>
        <v/>
      </c>
      <c r="I17" s="14">
        <f>IFERROR((G17/F17)/(SUMIFS($G$3:$G$98,$A$3:$A$98,A17,$B$3:$B$98,0)/SUMIFS($F$3:$F$98,$A$3:$A$98,A17,$B$3:$B$98,0)),"")</f>
        <v/>
      </c>
      <c r="J17" s="14">
        <f>IF(B17=0,1,IF(C17&lt;=1,G17-SUMIFS($G$3:$G$98,$A$3:$A$98,A17,$B$3:$B$98,0),G17-G16)/E17/(SUMIFS($G$3:$G$98,$A$3:$A$98,A17,$B$3:$B$98,0)/SUMIFS($F$3:$F$98,$A$3:$A$98,A17,$B$3:$B$98,0)))</f>
        <v/>
      </c>
      <c r="K17" s="9" t="n">
        <v>0.36</v>
      </c>
      <c r="L17" s="9" t="n">
        <v>1</v>
      </c>
      <c r="M17" s="14">
        <f>IF(OR(K17="",L17="",L17=0),"",K17/L17)</f>
        <v/>
      </c>
      <c r="N17" s="9" t="inlineStr"/>
      <c r="O17" s="9">
        <f>IF(B17=0,"基准",IF(AND(N17&lt;&gt;"",I17&lt;0.85),"功能型：单看输出偏低属正常",IF(I17&gt;=0.85,"划算",IF(I17&gt;=0.65,"略亏：空位紧张时仍值得","偏亏：建议降价或加强"))))</f>
        <v/>
      </c>
    </row>
    <row r="18">
      <c r="A18" s="9" t="inlineStr">
        <is>
          <t>dart</t>
        </is>
      </c>
      <c r="B18" s="9" t="n">
        <v>3</v>
      </c>
      <c r="C18" s="9" t="n">
        <v>5</v>
      </c>
      <c r="D18" s="9" t="inlineStr">
        <is>
          <t>补给站站长</t>
        </is>
      </c>
      <c r="E18" s="9" t="n">
        <v>1300</v>
      </c>
      <c r="F18" s="9" t="n">
        <v>2550</v>
      </c>
      <c r="G18" s="9" t="n">
        <v>3.08</v>
      </c>
      <c r="H18" s="14">
        <f>G18/F18*100</f>
        <v/>
      </c>
      <c r="I18" s="14">
        <f>IFERROR((G18/F18)/(SUMIFS($G$3:$G$98,$A$3:$A$98,A18,$B$3:$B$98,0)/SUMIFS($F$3:$F$98,$A$3:$A$98,A18,$B$3:$B$98,0)),"")</f>
        <v/>
      </c>
      <c r="J18" s="14">
        <f>IF(B18=0,1,IF(C18&lt;=1,G18-SUMIFS($G$3:$G$98,$A$3:$A$98,A18,$B$3:$B$98,0),G18-G17)/E18/(SUMIFS($G$3:$G$98,$A$3:$A$98,A18,$B$3:$B$98,0)/SUMIFS($F$3:$F$98,$A$3:$A$98,A18,$B$3:$B$98,0)))</f>
        <v/>
      </c>
      <c r="K18" s="9" t="n"/>
      <c r="L18" s="9" t="n"/>
      <c r="M18" s="14">
        <f>IF(OR(K18="",L18="",L18=0),"",K18/L18)</f>
        <v/>
      </c>
      <c r="N18" s="9" t="inlineStr">
        <is>
          <t>光环</t>
        </is>
      </c>
      <c r="O18" s="9">
        <f>IF(B18=0,"基准",IF(AND(N18&lt;&gt;"",I18&lt;0.85),"功能型：单看输出偏低属正常",IF(I18&gt;=0.85,"划算",IF(I18&gt;=0.65,"略亏：空位紧张时仍值得","偏亏：建议降价或加强"))))</f>
        <v/>
      </c>
    </row>
    <row r="19">
      <c r="A19" s="9" t="inlineStr">
        <is>
          <t>bomb</t>
        </is>
      </c>
      <c r="B19" s="9" t="n">
        <v>0</v>
      </c>
      <c r="C19" s="9" t="n">
        <v>0</v>
      </c>
      <c r="D19" s="9" t="inlineStr">
        <is>
          <t>基础</t>
        </is>
      </c>
      <c r="E19" s="9" t="n">
        <v>160</v>
      </c>
      <c r="F19" s="9" t="n">
        <v>160</v>
      </c>
      <c r="G19" s="9" t="n">
        <v>10.54</v>
      </c>
      <c r="H19" s="14">
        <f>G19/F19*100</f>
        <v/>
      </c>
      <c r="I19" s="14">
        <f>IFERROR((G19/F19)/(SUMIFS($G$3:$G$98,$A$3:$A$98,A19,$B$3:$B$98,0)/SUMIFS($F$3:$F$98,$A$3:$A$98,A19,$B$3:$B$98,0)),"")</f>
        <v/>
      </c>
      <c r="J19" s="14">
        <f>IF(B19=0,1,IF(C19&lt;=1,G19-SUMIFS($G$3:$G$98,$A$3:$A$98,A19,$B$3:$B$98,0),G19-G18)/E19/(SUMIFS($G$3:$G$98,$A$3:$A$98,A19,$B$3:$B$98,0)/SUMIFS($F$3:$F$98,$A$3:$A$98,A19,$B$3:$B$98,0)))</f>
        <v/>
      </c>
      <c r="K19" s="9" t="n"/>
      <c r="L19" s="9" t="n"/>
      <c r="M19" s="14">
        <f>IF(OR(K19="",L19="",L19=0),"",K19/L19)</f>
        <v/>
      </c>
      <c r="N19" s="9" t="inlineStr"/>
      <c r="O19" s="9">
        <f>IF(B19=0,"基准",IF(AND(N19&lt;&gt;"",I19&lt;0.85),"功能型：单看输出偏低属正常",IF(I19&gt;=0.85,"划算",IF(I19&gt;=0.65,"略亏：空位紧张时仍值得","偏亏：建议降价或加强"))))</f>
        <v/>
      </c>
    </row>
    <row r="20">
      <c r="A20" s="9" t="inlineStr">
        <is>
          <t>bomb</t>
        </is>
      </c>
      <c r="B20" s="9" t="n">
        <v>1</v>
      </c>
      <c r="C20" s="9" t="n">
        <v>1</v>
      </c>
      <c r="D20" s="9" t="inlineStr">
        <is>
          <t>大片香蕉皮</t>
        </is>
      </c>
      <c r="E20" s="9" t="n">
        <v>70</v>
      </c>
      <c r="F20" s="9" t="n">
        <v>230</v>
      </c>
      <c r="G20" s="9" t="n">
        <v>12.53</v>
      </c>
      <c r="H20" s="14">
        <f>G20/F20*100</f>
        <v/>
      </c>
      <c r="I20" s="14">
        <f>IFERROR((G20/F20)/(SUMIFS($G$3:$G$98,$A$3:$A$98,A20,$B$3:$B$98,0)/SUMIFS($F$3:$F$98,$A$3:$A$98,A20,$B$3:$B$98,0)),"")</f>
        <v/>
      </c>
      <c r="J20" s="14">
        <f>IF(B20=0,1,IF(C20&lt;=1,G20-SUMIFS($G$3:$G$98,$A$3:$A$98,A20,$B$3:$B$98,0),G20-G19)/E20/(SUMIFS($G$3:$G$98,$A$3:$A$98,A20,$B$3:$B$98,0)/SUMIFS($F$3:$F$98,$A$3:$A$98,A20,$B$3:$B$98,0)))</f>
        <v/>
      </c>
      <c r="K20" s="9" t="n">
        <v>0.394</v>
      </c>
      <c r="L20" s="9" t="n">
        <v>0.301</v>
      </c>
      <c r="M20" s="14">
        <f>IF(OR(K20="",L20="",L20=0),"",K20/L20)</f>
        <v/>
      </c>
      <c r="N20" s="9" t="inlineStr"/>
      <c r="O20" s="9">
        <f>IF(B20=0,"基准",IF(AND(N20&lt;&gt;"",I20&lt;0.85),"功能型：单看输出偏低属正常",IF(I20&gt;=0.85,"划算",IF(I20&gt;=0.65,"略亏：空位紧张时仍值得","偏亏：建议降价或加强"))))</f>
        <v/>
      </c>
    </row>
    <row r="21">
      <c r="A21" s="9" t="inlineStr">
        <is>
          <t>bomb</t>
        </is>
      </c>
      <c r="B21" s="9" t="n">
        <v>1</v>
      </c>
      <c r="C21" s="9" t="n">
        <v>2</v>
      </c>
      <c r="D21" s="9" t="inlineStr">
        <is>
          <t>熟透香蕉</t>
        </is>
      </c>
      <c r="E21" s="9" t="n">
        <v>150</v>
      </c>
      <c r="F21" s="9" t="n">
        <v>380</v>
      </c>
      <c r="G21" s="9" t="n">
        <v>25.05</v>
      </c>
      <c r="H21" s="14">
        <f>G21/F21*100</f>
        <v/>
      </c>
      <c r="I21" s="14">
        <f>IFERROR((G21/F21)/(SUMIFS($G$3:$G$98,$A$3:$A$98,A21,$B$3:$B$98,0)/SUMIFS($F$3:$F$98,$A$3:$A$98,A21,$B$3:$B$98,0)),"")</f>
        <v/>
      </c>
      <c r="J21" s="14">
        <f>IF(B21=0,1,IF(C21&lt;=1,G21-SUMIFS($G$3:$G$98,$A$3:$A$98,A21,$B$3:$B$98,0),G21-G20)/E21/(SUMIFS($G$3:$G$98,$A$3:$A$98,A21,$B$3:$B$98,0)/SUMIFS($F$3:$F$98,$A$3:$A$98,A21,$B$3:$B$98,0)))</f>
        <v/>
      </c>
      <c r="K21" s="9" t="n">
        <v>0.452</v>
      </c>
      <c r="L21" s="9" t="n">
        <v>0.489</v>
      </c>
      <c r="M21" s="14">
        <f>IF(OR(K21="",L21="",L21=0),"",K21/L21)</f>
        <v/>
      </c>
      <c r="N21" s="9" t="inlineStr"/>
      <c r="O21" s="9">
        <f>IF(B21=0,"基准",IF(AND(N21&lt;&gt;"",I21&lt;0.85),"功能型：单看输出偏低属正常",IF(I21&gt;=0.85,"划算",IF(I21&gt;=0.65,"略亏：空位紧张时仍值得","偏亏：建议降价或加强"))))</f>
        <v/>
      </c>
    </row>
    <row r="22">
      <c r="A22" s="9" t="inlineStr">
        <is>
          <t>bomb</t>
        </is>
      </c>
      <c r="B22" s="9" t="n">
        <v>1</v>
      </c>
      <c r="C22" s="9" t="n">
        <v>3</v>
      </c>
      <c r="D22" s="9" t="inlineStr">
        <is>
          <t>四脚朝天</t>
        </is>
      </c>
      <c r="E22" s="9" t="n">
        <v>330</v>
      </c>
      <c r="F22" s="9" t="n">
        <v>710</v>
      </c>
      <c r="G22" s="9" t="n">
        <v>25.05</v>
      </c>
      <c r="H22" s="14">
        <f>G22/F22*100</f>
        <v/>
      </c>
      <c r="I22" s="14">
        <f>IFERROR((G22/F22)/(SUMIFS($G$3:$G$98,$A$3:$A$98,A22,$B$3:$B$98,0)/SUMIFS($F$3:$F$98,$A$3:$A$98,A22,$B$3:$B$98,0)),"")</f>
        <v/>
      </c>
      <c r="J22" s="14">
        <f>IF(B22=0,1,IF(C22&lt;=1,G22-SUMIFS($G$3:$G$98,$A$3:$A$98,A22,$B$3:$B$98,0),G22-G21)/E22/(SUMIFS($G$3:$G$98,$A$3:$A$98,A22,$B$3:$B$98,0)/SUMIFS($F$3:$F$98,$A$3:$A$98,A22,$B$3:$B$98,0)))</f>
        <v/>
      </c>
      <c r="K22" s="9" t="n">
        <v>0.821</v>
      </c>
      <c r="L22" s="9" t="n">
        <v>0.852</v>
      </c>
      <c r="M22" s="14">
        <f>IF(OR(K22="",L22="",L22=0),"",K22/L22)</f>
        <v/>
      </c>
      <c r="N22" s="9" t="inlineStr">
        <is>
          <t>眩晕</t>
        </is>
      </c>
      <c r="O22" s="9">
        <f>IF(B22=0,"基准",IF(AND(N22&lt;&gt;"",I22&lt;0.85),"功能型：单看输出偏低属正常",IF(I22&gt;=0.85,"划算",IF(I22&gt;=0.65,"略亏：空位紧张时仍值得","偏亏：建议降价或加强"))))</f>
        <v/>
      </c>
    </row>
    <row r="23">
      <c r="A23" s="9" t="inlineStr">
        <is>
          <t>bomb</t>
        </is>
      </c>
      <c r="B23" s="9" t="n">
        <v>1</v>
      </c>
      <c r="C23" s="9" t="n">
        <v>4</v>
      </c>
      <c r="D23" s="9" t="inlineStr">
        <is>
          <t>香蕉船</t>
        </is>
      </c>
      <c r="E23" s="9" t="n">
        <v>750</v>
      </c>
      <c r="F23" s="9" t="n">
        <v>1460</v>
      </c>
      <c r="G23" s="9" t="n">
        <v>25.05</v>
      </c>
      <c r="H23" s="14">
        <f>G23/F23*100</f>
        <v/>
      </c>
      <c r="I23" s="14">
        <f>IFERROR((G23/F23)/(SUMIFS($G$3:$G$98,$A$3:$A$98,A23,$B$3:$B$98,0)/SUMIFS($F$3:$F$98,$A$3:$A$98,A23,$B$3:$B$98,0)),"")</f>
        <v/>
      </c>
      <c r="J23" s="14">
        <f>IF(B23=0,1,IF(C23&lt;=1,G23-SUMIFS($G$3:$G$98,$A$3:$A$98,A23,$B$3:$B$98,0),G23-G22)/E23/(SUMIFS($G$3:$G$98,$A$3:$A$98,A23,$B$3:$B$98,0)/SUMIFS($F$3:$F$98,$A$3:$A$98,A23,$B$3:$B$98,0)))</f>
        <v/>
      </c>
      <c r="K23" s="9" t="n">
        <v>0.826</v>
      </c>
      <c r="L23" s="9" t="n">
        <v>1</v>
      </c>
      <c r="M23" s="14">
        <f>IF(OR(K23="",L23="",L23=0),"",K23/L23)</f>
        <v/>
      </c>
      <c r="N23" s="9" t="inlineStr">
        <is>
          <t>对 Boss</t>
        </is>
      </c>
      <c r="O23" s="9">
        <f>IF(B23=0,"基准",IF(AND(N23&lt;&gt;"",I23&lt;0.85),"功能型：单看输出偏低属正常",IF(I23&gt;=0.85,"划算",IF(I23&gt;=0.65,"略亏：空位紧张时仍值得","偏亏：建议降价或加强"))))</f>
        <v/>
      </c>
    </row>
    <row r="24">
      <c r="A24" s="9" t="inlineStr">
        <is>
          <t>bomb</t>
        </is>
      </c>
      <c r="B24" s="9" t="n">
        <v>1</v>
      </c>
      <c r="C24" s="9" t="n">
        <v>5</v>
      </c>
      <c r="D24" s="9" t="inlineStr">
        <is>
          <t>香蕉海啸</t>
        </is>
      </c>
      <c r="E24" s="9" t="n">
        <v>1400</v>
      </c>
      <c r="F24" s="9" t="n">
        <v>2860</v>
      </c>
      <c r="G24" s="9" t="n">
        <v>156.51</v>
      </c>
      <c r="H24" s="14">
        <f>G24/F24*100</f>
        <v/>
      </c>
      <c r="I24" s="14">
        <f>IFERROR((G24/F24)/(SUMIFS($G$3:$G$98,$A$3:$A$98,A24,$B$3:$B$98,0)/SUMIFS($F$3:$F$98,$A$3:$A$98,A24,$B$3:$B$98,0)),"")</f>
        <v/>
      </c>
      <c r="J24" s="14">
        <f>IF(B24=0,1,IF(C24&lt;=1,G24-SUMIFS($G$3:$G$98,$A$3:$A$98,A24,$B$3:$B$98,0),G24-G23)/E24/(SUMIFS($G$3:$G$98,$A$3:$A$98,A24,$B$3:$B$98,0)/SUMIFS($F$3:$F$98,$A$3:$A$98,A24,$B$3:$B$98,0)))</f>
        <v/>
      </c>
      <c r="K24" s="9" t="n"/>
      <c r="L24" s="9" t="n"/>
      <c r="M24" s="14">
        <f>IF(OR(K24="",L24="",L24=0),"",K24/L24)</f>
        <v/>
      </c>
      <c r="N24" s="9" t="inlineStr"/>
      <c r="O24" s="9">
        <f>IF(B24=0,"基准",IF(AND(N24&lt;&gt;"",I24&lt;0.85),"功能型：单看输出偏低属正常",IF(I24&gt;=0.85,"划算",IF(I24&gt;=0.65,"略亏：空位紧张时仍值得","偏亏：建议降价或加强"))))</f>
        <v/>
      </c>
    </row>
    <row r="25">
      <c r="A25" s="9" t="inlineStr">
        <is>
          <t>bomb</t>
        </is>
      </c>
      <c r="B25" s="9" t="n">
        <v>2</v>
      </c>
      <c r="C25" s="9" t="n">
        <v>1</v>
      </c>
      <c r="D25" s="9" t="inlineStr">
        <is>
          <t>双发香蕉</t>
        </is>
      </c>
      <c r="E25" s="9" t="n">
        <v>100</v>
      </c>
      <c r="F25" s="9" t="n">
        <v>260</v>
      </c>
      <c r="G25" s="9" t="n">
        <v>21.07</v>
      </c>
      <c r="H25" s="14">
        <f>G25/F25*100</f>
        <v/>
      </c>
      <c r="I25" s="14">
        <f>IFERROR((G25/F25)/(SUMIFS($G$3:$G$98,$A$3:$A$98,A25,$B$3:$B$98,0)/SUMIFS($F$3:$F$98,$A$3:$A$98,A25,$B$3:$B$98,0)),"")</f>
        <v/>
      </c>
      <c r="J25" s="14">
        <f>IF(B25=0,1,IF(C25&lt;=1,G25-SUMIFS($G$3:$G$98,$A$3:$A$98,A25,$B$3:$B$98,0),G25-G24)/E25/(SUMIFS($G$3:$G$98,$A$3:$A$98,A25,$B$3:$B$98,0)/SUMIFS($F$3:$F$98,$A$3:$A$98,A25,$B$3:$B$98,0)))</f>
        <v/>
      </c>
      <c r="K25" s="9" t="n">
        <v>0.413</v>
      </c>
      <c r="L25" s="9" t="n">
        <v>0.337</v>
      </c>
      <c r="M25" s="14">
        <f>IF(OR(K25="",L25="",L25=0),"",K25/L25)</f>
        <v/>
      </c>
      <c r="N25" s="9" t="inlineStr"/>
      <c r="O25" s="9">
        <f>IF(B25=0,"基准",IF(AND(N25&lt;&gt;"",I25&lt;0.85),"功能型：单看输出偏低属正常",IF(I25&gt;=0.85,"划算",IF(I25&gt;=0.65,"略亏：空位紧张时仍值得","偏亏：建议降价或加强"))))</f>
        <v/>
      </c>
    </row>
    <row r="26">
      <c r="A26" s="9" t="inlineStr">
        <is>
          <t>bomb</t>
        </is>
      </c>
      <c r="B26" s="9" t="n">
        <v>2</v>
      </c>
      <c r="C26" s="9" t="n">
        <v>2</v>
      </c>
      <c r="D26" s="9" t="inlineStr">
        <is>
          <t>香蕉碎片</t>
        </is>
      </c>
      <c r="E26" s="9" t="n">
        <v>160</v>
      </c>
      <c r="F26" s="9" t="n">
        <v>420</v>
      </c>
      <c r="G26" s="9" t="n">
        <v>23.84</v>
      </c>
      <c r="H26" s="14">
        <f>G26/F26*100</f>
        <v/>
      </c>
      <c r="I26" s="14">
        <f>IFERROR((G26/F26)/(SUMIFS($G$3:$G$98,$A$3:$A$98,A26,$B$3:$B$98,0)/SUMIFS($F$3:$F$98,$A$3:$A$98,A26,$B$3:$B$98,0)),"")</f>
        <v/>
      </c>
      <c r="J26" s="14">
        <f>IF(B26=0,1,IF(C26&lt;=1,G26-SUMIFS($G$3:$G$98,$A$3:$A$98,A26,$B$3:$B$98,0),G26-G25)/E26/(SUMIFS($G$3:$G$98,$A$3:$A$98,A26,$B$3:$B$98,0)/SUMIFS($F$3:$F$98,$A$3:$A$98,A26,$B$3:$B$98,0)))</f>
        <v/>
      </c>
      <c r="K26" s="9" t="n">
        <v>0.634</v>
      </c>
      <c r="L26" s="9" t="n">
        <v>0.542</v>
      </c>
      <c r="M26" s="14">
        <f>IF(OR(K26="",L26="",L26=0),"",K26/L26)</f>
        <v/>
      </c>
      <c r="N26" s="9" t="inlineStr"/>
      <c r="O26" s="9">
        <f>IF(B26=0,"基准",IF(AND(N26&lt;&gt;"",I26&lt;0.85),"功能型：单看输出偏低属正常",IF(I26&gt;=0.85,"划算",IF(I26&gt;=0.65,"略亏：空位紧张时仍值得","偏亏：建议降价或加强"))))</f>
        <v/>
      </c>
    </row>
    <row r="27">
      <c r="A27" s="9" t="inlineStr">
        <is>
          <t>bomb</t>
        </is>
      </c>
      <c r="B27" s="9" t="n">
        <v>2</v>
      </c>
      <c r="C27" s="9" t="n">
        <v>3</v>
      </c>
      <c r="D27" s="9" t="inlineStr">
        <is>
          <t>一串香蕉</t>
        </is>
      </c>
      <c r="E27" s="9" t="n">
        <v>220</v>
      </c>
      <c r="F27" s="9" t="n">
        <v>640</v>
      </c>
      <c r="G27" s="9" t="n">
        <v>30.05</v>
      </c>
      <c r="H27" s="14">
        <f>G27/F27*100</f>
        <v/>
      </c>
      <c r="I27" s="14">
        <f>IFERROR((G27/F27)/(SUMIFS($G$3:$G$98,$A$3:$A$98,A27,$B$3:$B$98,0)/SUMIFS($F$3:$F$98,$A$3:$A$98,A27,$B$3:$B$98,0)),"")</f>
        <v/>
      </c>
      <c r="J27" s="14">
        <f>IF(B27=0,1,IF(C27&lt;=1,G27-SUMIFS($G$3:$G$98,$A$3:$A$98,A27,$B$3:$B$98,0),G27-G26)/E27/(SUMIFS($G$3:$G$98,$A$3:$A$98,A27,$B$3:$B$98,0)/SUMIFS($F$3:$F$98,$A$3:$A$98,A27,$B$3:$B$98,0)))</f>
        <v/>
      </c>
      <c r="K27" s="9" t="n">
        <v>0.788</v>
      </c>
      <c r="L27" s="9" t="n">
        <v>0.8169999999999999</v>
      </c>
      <c r="M27" s="14">
        <f>IF(OR(K27="",L27="",L27=0),"",K27/L27)</f>
        <v/>
      </c>
      <c r="N27" s="9" t="inlineStr"/>
      <c r="O27" s="9">
        <f>IF(B27=0,"基准",IF(AND(N27&lt;&gt;"",I27&lt;0.85),"功能型：单看输出偏低属正常",IF(I27&gt;=0.85,"划算",IF(I27&gt;=0.65,"略亏：空位紧张时仍值得","偏亏：建议降价或加强"))))</f>
        <v/>
      </c>
    </row>
    <row r="28">
      <c r="A28" s="9" t="inlineStr">
        <is>
          <t>bomb</t>
        </is>
      </c>
      <c r="B28" s="9" t="n">
        <v>2</v>
      </c>
      <c r="C28" s="9" t="n">
        <v>4</v>
      </c>
      <c r="D28" s="9" t="inlineStr">
        <is>
          <t>香蕉连环</t>
        </is>
      </c>
      <c r="E28" s="9" t="n">
        <v>480</v>
      </c>
      <c r="F28" s="9" t="n">
        <v>1120</v>
      </c>
      <c r="G28" s="9" t="n">
        <v>36.26</v>
      </c>
      <c r="H28" s="14">
        <f>G28/F28*100</f>
        <v/>
      </c>
      <c r="I28" s="14">
        <f>IFERROR((G28/F28)/(SUMIFS($G$3:$G$98,$A$3:$A$98,A28,$B$3:$B$98,0)/SUMIFS($F$3:$F$98,$A$3:$A$98,A28,$B$3:$B$98,0)),"")</f>
        <v/>
      </c>
      <c r="J28" s="14">
        <f>IF(B28=0,1,IF(C28&lt;=1,G28-SUMIFS($G$3:$G$98,$A$3:$A$98,A28,$B$3:$B$98,0),G28-G27)/E28/(SUMIFS($G$3:$G$98,$A$3:$A$98,A28,$B$3:$B$98,0)/SUMIFS($F$3:$F$98,$A$3:$A$98,A28,$B$3:$B$98,0)))</f>
        <v/>
      </c>
      <c r="K28" s="9" t="n">
        <v>0.919</v>
      </c>
      <c r="L28" s="9" t="n">
        <v>1</v>
      </c>
      <c r="M28" s="14">
        <f>IF(OR(K28="",L28="",L28=0),"",K28/L28)</f>
        <v/>
      </c>
      <c r="N28" s="9" t="inlineStr"/>
      <c r="O28" s="9">
        <f>IF(B28=0,"基准",IF(AND(N28&lt;&gt;"",I28&lt;0.85),"功能型：单看输出偏低属正常",IF(I28&gt;=0.85,"划算",IF(I28&gt;=0.65,"略亏：空位紧张时仍值得","偏亏：建议降价或加强"))))</f>
        <v/>
      </c>
    </row>
    <row r="29">
      <c r="A29" s="9" t="inlineStr">
        <is>
          <t>bomb</t>
        </is>
      </c>
      <c r="B29" s="9" t="n">
        <v>2</v>
      </c>
      <c r="C29" s="9" t="n">
        <v>5</v>
      </c>
      <c r="D29" s="9" t="inlineStr">
        <is>
          <t>香蕉雨</t>
        </is>
      </c>
      <c r="E29" s="9" t="n">
        <v>1500</v>
      </c>
      <c r="F29" s="9" t="n">
        <v>2620</v>
      </c>
      <c r="G29" s="9" t="n">
        <v>90.66</v>
      </c>
      <c r="H29" s="14">
        <f>G29/F29*100</f>
        <v/>
      </c>
      <c r="I29" s="14">
        <f>IFERROR((G29/F29)/(SUMIFS($G$3:$G$98,$A$3:$A$98,A29,$B$3:$B$98,0)/SUMIFS($F$3:$F$98,$A$3:$A$98,A29,$B$3:$B$98,0)),"")</f>
        <v/>
      </c>
      <c r="J29" s="14">
        <f>IF(B29=0,1,IF(C29&lt;=1,G29-SUMIFS($G$3:$G$98,$A$3:$A$98,A29,$B$3:$B$98,0),G29-G28)/E29/(SUMIFS($G$3:$G$98,$A$3:$A$98,A29,$B$3:$B$98,0)/SUMIFS($F$3:$F$98,$A$3:$A$98,A29,$B$3:$B$98,0)))</f>
        <v/>
      </c>
      <c r="K29" s="9" t="n"/>
      <c r="L29" s="9" t="n"/>
      <c r="M29" s="14">
        <f>IF(OR(K29="",L29="",L29=0),"",K29/L29)</f>
        <v/>
      </c>
      <c r="N29" s="9" t="inlineStr"/>
      <c r="O29" s="9">
        <f>IF(B29=0,"基准",IF(AND(N29&lt;&gt;"",I29&lt;0.85),"功能型：单看输出偏低属正常",IF(I29&gt;=0.85,"划算",IF(I29&gt;=0.65,"略亏：空位紧张时仍值得","偏亏：建议降价或加强"))))</f>
        <v/>
      </c>
    </row>
    <row r="30">
      <c r="A30" s="9" t="inlineStr">
        <is>
          <t>bomb</t>
        </is>
      </c>
      <c r="B30" s="9" t="n">
        <v>3</v>
      </c>
      <c r="C30" s="9" t="n">
        <v>1</v>
      </c>
      <c r="D30" s="9" t="inlineStr">
        <is>
          <t>辣椒粉</t>
        </is>
      </c>
      <c r="E30" s="9" t="n">
        <v>80</v>
      </c>
      <c r="F30" s="9" t="n">
        <v>240</v>
      </c>
      <c r="G30" s="9" t="n">
        <v>15.24</v>
      </c>
      <c r="H30" s="14">
        <f>G30/F30*100</f>
        <v/>
      </c>
      <c r="I30" s="14">
        <f>IFERROR((G30/F30)/(SUMIFS($G$3:$G$98,$A$3:$A$98,A30,$B$3:$B$98,0)/SUMIFS($F$3:$F$98,$A$3:$A$98,A30,$B$3:$B$98,0)),"")</f>
        <v/>
      </c>
      <c r="J30" s="14">
        <f>IF(B30=0,1,IF(C30&lt;=1,G30-SUMIFS($G$3:$G$98,$A$3:$A$98,A30,$B$3:$B$98,0),G30-G29)/E30/(SUMIFS($G$3:$G$98,$A$3:$A$98,A30,$B$3:$B$98,0)/SUMIFS($F$3:$F$98,$A$3:$A$98,A30,$B$3:$B$98,0)))</f>
        <v/>
      </c>
      <c r="K30" s="9" t="n">
        <v>0.338</v>
      </c>
      <c r="L30" s="9" t="n">
        <v>0.313</v>
      </c>
      <c r="M30" s="14">
        <f>IF(OR(K30="",L30="",L30=0),"",K30/L30)</f>
        <v/>
      </c>
      <c r="N30" s="9" t="inlineStr"/>
      <c r="O30" s="9">
        <f>IF(B30=0,"基准",IF(AND(N30&lt;&gt;"",I30&lt;0.85),"功能型：单看输出偏低属正常",IF(I30&gt;=0.85,"划算",IF(I30&gt;=0.65,"略亏：空位紧张时仍值得","偏亏：建议降价或加强"))))</f>
        <v/>
      </c>
    </row>
    <row r="31">
      <c r="A31" s="9" t="inlineStr">
        <is>
          <t>bomb</t>
        </is>
      </c>
      <c r="B31" s="9" t="n">
        <v>3</v>
      </c>
      <c r="C31" s="9" t="n">
        <v>2</v>
      </c>
      <c r="D31" s="9" t="inlineStr">
        <is>
          <t>魔鬼椒</t>
        </is>
      </c>
      <c r="E31" s="9" t="n">
        <v>140</v>
      </c>
      <c r="F31" s="9" t="n">
        <v>380</v>
      </c>
      <c r="G31" s="9" t="n">
        <v>20.42</v>
      </c>
      <c r="H31" s="14">
        <f>G31/F31*100</f>
        <v/>
      </c>
      <c r="I31" s="14">
        <f>IFERROR((G31/F31)/(SUMIFS($G$3:$G$98,$A$3:$A$98,A31,$B$3:$B$98,0)/SUMIFS($F$3:$F$98,$A$3:$A$98,A31,$B$3:$B$98,0)),"")</f>
        <v/>
      </c>
      <c r="J31" s="14">
        <f>IF(B31=0,1,IF(C31&lt;=1,G31-SUMIFS($G$3:$G$98,$A$3:$A$98,A31,$B$3:$B$98,0),G31-G30)/E31/(SUMIFS($G$3:$G$98,$A$3:$A$98,A31,$B$3:$B$98,0)/SUMIFS($F$3:$F$98,$A$3:$A$98,A31,$B$3:$B$98,0)))</f>
        <v/>
      </c>
      <c r="K31" s="9" t="n">
        <v>0.361</v>
      </c>
      <c r="L31" s="9" t="n">
        <v>0.489</v>
      </c>
      <c r="M31" s="14">
        <f>IF(OR(K31="",L31="",L31=0),"",K31/L31)</f>
        <v/>
      </c>
      <c r="N31" s="9" t="inlineStr"/>
      <c r="O31" s="9">
        <f>IF(B31=0,"基准",IF(AND(N31&lt;&gt;"",I31&lt;0.85),"功能型：单看输出偏低属正常",IF(I31&gt;=0.85,"划算",IF(I31&gt;=0.65,"略亏：空位紧张时仍值得","偏亏：建议降价或加强"))))</f>
        <v/>
      </c>
    </row>
    <row r="32">
      <c r="A32" s="9" t="inlineStr">
        <is>
          <t>bomb</t>
        </is>
      </c>
      <c r="B32" s="9" t="n">
        <v>3</v>
      </c>
      <c r="C32" s="9" t="n">
        <v>3</v>
      </c>
      <c r="D32" s="9" t="inlineStr">
        <is>
          <t>辣油泼地</t>
        </is>
      </c>
      <c r="E32" s="9" t="n">
        <v>260</v>
      </c>
      <c r="F32" s="9" t="n">
        <v>640</v>
      </c>
      <c r="G32" s="9" t="n">
        <v>27.19</v>
      </c>
      <c r="H32" s="14">
        <f>G32/F32*100</f>
        <v/>
      </c>
      <c r="I32" s="14">
        <f>IFERROR((G32/F32)/(SUMIFS($G$3:$G$98,$A$3:$A$98,A32,$B$3:$B$98,0)/SUMIFS($F$3:$F$98,$A$3:$A$98,A32,$B$3:$B$98,0)),"")</f>
        <v/>
      </c>
      <c r="J32" s="14">
        <f>IF(B32=0,1,IF(C32&lt;=1,G32-SUMIFS($G$3:$G$98,$A$3:$A$98,A32,$B$3:$B$98,0),G32-G31)/E32/(SUMIFS($G$3:$G$98,$A$3:$A$98,A32,$B$3:$B$98,0)/SUMIFS($F$3:$F$98,$A$3:$A$98,A32,$B$3:$B$98,0)))</f>
        <v/>
      </c>
      <c r="K32" s="9" t="n">
        <v>0.526</v>
      </c>
      <c r="L32" s="9" t="n">
        <v>0.8169999999999999</v>
      </c>
      <c r="M32" s="14">
        <f>IF(OR(K32="",L32="",L32=0),"",K32/L32)</f>
        <v/>
      </c>
      <c r="N32" s="9" t="inlineStr"/>
      <c r="O32" s="9">
        <f>IF(B32=0,"基准",IF(AND(N32&lt;&gt;"",I32&lt;0.85),"功能型：单看输出偏低属正常",IF(I32&gt;=0.85,"划算",IF(I32&gt;=0.65,"略亏：空位紧张时仍值得","偏亏：建议降价或加强"))))</f>
        <v/>
      </c>
    </row>
    <row r="33">
      <c r="A33" s="9" t="inlineStr">
        <is>
          <t>bomb</t>
        </is>
      </c>
      <c r="B33" s="9" t="n">
        <v>3</v>
      </c>
      <c r="C33" s="9" t="n">
        <v>4</v>
      </c>
      <c r="D33" s="9" t="inlineStr">
        <is>
          <t>变态辣</t>
        </is>
      </c>
      <c r="E33" s="9" t="n">
        <v>560</v>
      </c>
      <c r="F33" s="9" t="n">
        <v>1200</v>
      </c>
      <c r="G33" s="9" t="n">
        <v>42.01</v>
      </c>
      <c r="H33" s="14">
        <f>G33/F33*100</f>
        <v/>
      </c>
      <c r="I33" s="14">
        <f>IFERROR((G33/F33)/(SUMIFS($G$3:$G$98,$A$3:$A$98,A33,$B$3:$B$98,0)/SUMIFS($F$3:$F$98,$A$3:$A$98,A33,$B$3:$B$98,0)),"")</f>
        <v/>
      </c>
      <c r="J33" s="14">
        <f>IF(B33=0,1,IF(C33&lt;=1,G33-SUMIFS($G$3:$G$98,$A$3:$A$98,A33,$B$3:$B$98,0),G33-G32)/E33/(SUMIFS($G$3:$G$98,$A$3:$A$98,A33,$B$3:$B$98,0)/SUMIFS($F$3:$F$98,$A$3:$A$98,A33,$B$3:$B$98,0)))</f>
        <v/>
      </c>
      <c r="K33" s="9" t="n">
        <v>0.701</v>
      </c>
      <c r="L33" s="9" t="n">
        <v>1</v>
      </c>
      <c r="M33" s="14">
        <f>IF(OR(K33="",L33="",L33=0),"",K33/L33)</f>
        <v/>
      </c>
      <c r="N33" s="9" t="inlineStr"/>
      <c r="O33" s="9">
        <f>IF(B33=0,"基准",IF(AND(N33&lt;&gt;"",I33&lt;0.85),"功能型：单看输出偏低属正常",IF(I33&gt;=0.85,"划算",IF(I33&gt;=0.65,"略亏：空位紧张时仍值得","偏亏：建议降价或加强"))))</f>
        <v/>
      </c>
    </row>
    <row r="34">
      <c r="A34" s="9" t="inlineStr">
        <is>
          <t>bomb</t>
        </is>
      </c>
      <c r="B34" s="9" t="n">
        <v>3</v>
      </c>
      <c r="C34" s="9" t="n">
        <v>5</v>
      </c>
      <c r="D34" s="9" t="inlineStr">
        <is>
          <t>火锅底料</t>
        </is>
      </c>
      <c r="E34" s="9" t="n">
        <v>1600</v>
      </c>
      <c r="F34" s="9" t="n">
        <v>2800</v>
      </c>
      <c r="G34" s="9" t="n">
        <v>42.01</v>
      </c>
      <c r="H34" s="14">
        <f>G34/F34*100</f>
        <v/>
      </c>
      <c r="I34" s="14">
        <f>IFERROR((G34/F34)/(SUMIFS($G$3:$G$98,$A$3:$A$98,A34,$B$3:$B$98,0)/SUMIFS($F$3:$F$98,$A$3:$A$98,A34,$B$3:$B$98,0)),"")</f>
        <v/>
      </c>
      <c r="J34" s="14">
        <f>IF(B34=0,1,IF(C34&lt;=1,G34-SUMIFS($G$3:$G$98,$A$3:$A$98,A34,$B$3:$B$98,0),G34-G33)/E34/(SUMIFS($G$3:$G$98,$A$3:$A$98,A34,$B$3:$B$98,0)/SUMIFS($F$3:$F$98,$A$3:$A$98,A34,$B$3:$B$98,0)))</f>
        <v/>
      </c>
      <c r="K34" s="9" t="n"/>
      <c r="L34" s="9" t="n"/>
      <c r="M34" s="14">
        <f>IF(OR(K34="",L34="",L34=0),"",K34/L34)</f>
        <v/>
      </c>
      <c r="N34" s="9" t="inlineStr">
        <is>
          <t>连锁爆燃</t>
        </is>
      </c>
      <c r="O34" s="9">
        <f>IF(B34=0,"基准",IF(AND(N34&lt;&gt;"",I34&lt;0.85),"功能型：单看输出偏低属正常",IF(I34&gt;=0.85,"划算",IF(I34&gt;=0.65,"略亏：空位紧张时仍值得","偏亏：建议降价或加强"))))</f>
        <v/>
      </c>
    </row>
    <row r="35">
      <c r="A35" s="9" t="inlineStr">
        <is>
          <t>frost</t>
        </is>
      </c>
      <c r="B35" s="9" t="n">
        <v>0</v>
      </c>
      <c r="C35" s="9" t="n">
        <v>0</v>
      </c>
      <c r="D35" s="9" t="inlineStr">
        <is>
          <t>基础</t>
        </is>
      </c>
      <c r="E35" s="9" t="n">
        <v>120</v>
      </c>
      <c r="F35" s="9" t="n">
        <v>120</v>
      </c>
      <c r="G35" s="9" t="n">
        <v>2.26</v>
      </c>
      <c r="H35" s="14">
        <f>G35/F35*100</f>
        <v/>
      </c>
      <c r="I35" s="14">
        <f>IFERROR((G35/F35)/(SUMIFS($G$3:$G$98,$A$3:$A$98,A35,$B$3:$B$98,0)/SUMIFS($F$3:$F$98,$A$3:$A$98,A35,$B$3:$B$98,0)),"")</f>
        <v/>
      </c>
      <c r="J35" s="14">
        <f>IF(B35=0,1,IF(C35&lt;=1,G35-SUMIFS($G$3:$G$98,$A$3:$A$98,A35,$B$3:$B$98,0),G35-G34)/E35/(SUMIFS($G$3:$G$98,$A$3:$A$98,A35,$B$3:$B$98,0)/SUMIFS($F$3:$F$98,$A$3:$A$98,A35,$B$3:$B$98,0)))</f>
        <v/>
      </c>
      <c r="K35" s="9" t="n"/>
      <c r="L35" s="9" t="n"/>
      <c r="M35" s="14">
        <f>IF(OR(K35="",L35="",L35=0),"",K35/L35)</f>
        <v/>
      </c>
      <c r="N35" s="9" t="inlineStr"/>
      <c r="O35" s="9">
        <f>IF(B35=0,"基准",IF(AND(N35&lt;&gt;"",I35&lt;0.85),"功能型：单看输出偏低属正常",IF(I35&gt;=0.85,"划算",IF(I35&gt;=0.65,"略亏：空位紧张时仍值得","偏亏：建议降价或加强"))))</f>
        <v/>
      </c>
    </row>
    <row r="36">
      <c r="A36" s="9" t="inlineStr">
        <is>
          <t>frost</t>
        </is>
      </c>
      <c r="B36" s="9" t="n">
        <v>1</v>
      </c>
      <c r="C36" s="9" t="n">
        <v>1</v>
      </c>
      <c r="D36" s="9" t="inlineStr">
        <is>
          <t>凉水</t>
        </is>
      </c>
      <c r="E36" s="9" t="n">
        <v>60</v>
      </c>
      <c r="F36" s="9" t="n">
        <v>180</v>
      </c>
      <c r="G36" s="9" t="n">
        <v>2.26</v>
      </c>
      <c r="H36" s="14">
        <f>G36/F36*100</f>
        <v/>
      </c>
      <c r="I36" s="14">
        <f>IFERROR((G36/F36)/(SUMIFS($G$3:$G$98,$A$3:$A$98,A36,$B$3:$B$98,0)/SUMIFS($F$3:$F$98,$A$3:$A$98,A36,$B$3:$B$98,0)),"")</f>
        <v/>
      </c>
      <c r="J36" s="14">
        <f>IF(B36=0,1,IF(C36&lt;=1,G36-SUMIFS($G$3:$G$98,$A$3:$A$98,A36,$B$3:$B$98,0),G36-G35)/E36/(SUMIFS($G$3:$G$98,$A$3:$A$98,A36,$B$3:$B$98,0)/SUMIFS($F$3:$F$98,$A$3:$A$98,A36,$B$3:$B$98,0)))</f>
        <v/>
      </c>
      <c r="K36" s="9" t="n">
        <v>0.232</v>
      </c>
      <c r="L36" s="9" t="n">
        <v>0.298</v>
      </c>
      <c r="M36" s="14">
        <f>IF(OR(K36="",L36="",L36=0),"",K36/L36)</f>
        <v/>
      </c>
      <c r="N36" s="9" t="inlineStr">
        <is>
          <t>减速</t>
        </is>
      </c>
      <c r="O36" s="9">
        <f>IF(B36=0,"基准",IF(AND(N36&lt;&gt;"",I36&lt;0.85),"功能型：单看输出偏低属正常",IF(I36&gt;=0.85,"划算",IF(I36&gt;=0.65,"略亏：空位紧张时仍值得","偏亏：建议降价或加强"))))</f>
        <v/>
      </c>
    </row>
    <row r="37">
      <c r="A37" s="9" t="inlineStr">
        <is>
          <t>frost</t>
        </is>
      </c>
      <c r="B37" s="9" t="n">
        <v>1</v>
      </c>
      <c r="C37" s="9" t="n">
        <v>2</v>
      </c>
      <c r="D37" s="9" t="inlineStr">
        <is>
          <t>持续喷淋</t>
        </is>
      </c>
      <c r="E37" s="9" t="n">
        <v>90</v>
      </c>
      <c r="F37" s="9" t="n">
        <v>270</v>
      </c>
      <c r="G37" s="9" t="n">
        <v>2.26</v>
      </c>
      <c r="H37" s="14">
        <f>G37/F37*100</f>
        <v/>
      </c>
      <c r="I37" s="14">
        <f>IFERROR((G37/F37)/(SUMIFS($G$3:$G$98,$A$3:$A$98,A37,$B$3:$B$98,0)/SUMIFS($F$3:$F$98,$A$3:$A$98,A37,$B$3:$B$98,0)),"")</f>
        <v/>
      </c>
      <c r="J37" s="14">
        <f>IF(B37=0,1,IF(C37&lt;=1,G37-SUMIFS($G$3:$G$98,$A$3:$A$98,A37,$B$3:$B$98,0),G37-G36)/E37/(SUMIFS($G$3:$G$98,$A$3:$A$98,A37,$B$3:$B$98,0)/SUMIFS($F$3:$F$98,$A$3:$A$98,A37,$B$3:$B$98,0)))</f>
        <v/>
      </c>
      <c r="K37" s="9" t="n">
        <v>0.259</v>
      </c>
      <c r="L37" s="9" t="n">
        <v>0.452</v>
      </c>
      <c r="M37" s="14">
        <f>IF(OR(K37="",L37="",L37=0),"",K37/L37)</f>
        <v/>
      </c>
      <c r="N37" s="9" t="inlineStr">
        <is>
          <t>减速</t>
        </is>
      </c>
      <c r="O37" s="9">
        <f>IF(B37=0,"基准",IF(AND(N37&lt;&gt;"",I37&lt;0.85),"功能型：单看输出偏低属正常",IF(I37&gt;=0.85,"划算",IF(I37&gt;=0.65,"略亏：空位紧张时仍值得","偏亏：建议降价或加强"))))</f>
        <v/>
      </c>
    </row>
    <row r="38">
      <c r="A38" s="9" t="inlineStr">
        <is>
          <t>frost</t>
        </is>
      </c>
      <c r="B38" s="9" t="n">
        <v>1</v>
      </c>
      <c r="C38" s="9" t="n">
        <v>3</v>
      </c>
      <c r="D38" s="9" t="inlineStr">
        <is>
          <t>冰水</t>
        </is>
      </c>
      <c r="E38" s="9" t="n">
        <v>300</v>
      </c>
      <c r="F38" s="9" t="n">
        <v>570</v>
      </c>
      <c r="G38" s="9" t="n">
        <v>2.26</v>
      </c>
      <c r="H38" s="14">
        <f>G38/F38*100</f>
        <v/>
      </c>
      <c r="I38" s="14">
        <f>IFERROR((G38/F38)/(SUMIFS($G$3:$G$98,$A$3:$A$98,A38,$B$3:$B$98,0)/SUMIFS($F$3:$F$98,$A$3:$A$98,A38,$B$3:$B$98,0)),"")</f>
        <v/>
      </c>
      <c r="J38" s="14">
        <f>IF(B38=0,1,IF(C38&lt;=1,G38-SUMIFS($G$3:$G$98,$A$3:$A$98,A38,$B$3:$B$98,0),G38-G37)/E38/(SUMIFS($G$3:$G$98,$A$3:$A$98,A38,$B$3:$B$98,0)/SUMIFS($F$3:$F$98,$A$3:$A$98,A38,$B$3:$B$98,0)))</f>
        <v/>
      </c>
      <c r="K38" s="9" t="n">
        <v>0.861</v>
      </c>
      <c r="L38" s="9" t="n">
        <v>0.761</v>
      </c>
      <c r="M38" s="14">
        <f>IF(OR(K38="",L38="",L38=0),"",K38/L38)</f>
        <v/>
      </c>
      <c r="N38" s="9" t="inlineStr">
        <is>
          <t>冻结</t>
        </is>
      </c>
      <c r="O38" s="9">
        <f>IF(B38=0,"基准",IF(AND(N38&lt;&gt;"",I38&lt;0.85),"功能型：单看输出偏低属正常",IF(I38&gt;=0.85,"划算",IF(I38&gt;=0.65,"略亏：空位紧张时仍值得","偏亏：建议降价或加强"))))</f>
        <v/>
      </c>
    </row>
    <row r="39">
      <c r="A39" s="9" t="inlineStr">
        <is>
          <t>frost</t>
        </is>
      </c>
      <c r="B39" s="9" t="n">
        <v>1</v>
      </c>
      <c r="C39" s="9" t="n">
        <v>4</v>
      </c>
      <c r="D39" s="9" t="inlineStr">
        <is>
          <t>冰桶挑战</t>
        </is>
      </c>
      <c r="E39" s="9" t="n">
        <v>750</v>
      </c>
      <c r="F39" s="9" t="n">
        <v>1320</v>
      </c>
      <c r="G39" s="9" t="n">
        <v>2.26</v>
      </c>
      <c r="H39" s="14">
        <f>G39/F39*100</f>
        <v/>
      </c>
      <c r="I39" s="14">
        <f>IFERROR((G39/F39)/(SUMIFS($G$3:$G$98,$A$3:$A$98,A39,$B$3:$B$98,0)/SUMIFS($F$3:$F$98,$A$3:$A$98,A39,$B$3:$B$98,0)),"")</f>
        <v/>
      </c>
      <c r="J39" s="14">
        <f>IF(B39=0,1,IF(C39&lt;=1,G39-SUMIFS($G$3:$G$98,$A$3:$A$98,A39,$B$3:$B$98,0),G39-G38)/E39/(SUMIFS($G$3:$G$98,$A$3:$A$98,A39,$B$3:$B$98,0)/SUMIFS($F$3:$F$98,$A$3:$A$98,A39,$B$3:$B$98,0)))</f>
        <v/>
      </c>
      <c r="K39" s="9" t="n">
        <v>0.99</v>
      </c>
      <c r="L39" s="9" t="n">
        <v>1</v>
      </c>
      <c r="M39" s="14">
        <f>IF(OR(K39="",L39="",L39=0),"",K39/L39)</f>
        <v/>
      </c>
      <c r="N39" s="9" t="inlineStr">
        <is>
          <t>冻结、对 Boss</t>
        </is>
      </c>
      <c r="O39" s="9">
        <f>IF(B39=0,"基准",IF(AND(N39&lt;&gt;"",I39&lt;0.85),"功能型：单看输出偏低属正常",IF(I39&gt;=0.85,"划算",IF(I39&gt;=0.65,"略亏：空位紧张时仍值得","偏亏：建议降价或加强"))))</f>
        <v/>
      </c>
    </row>
    <row r="40">
      <c r="A40" s="9" t="inlineStr">
        <is>
          <t>frost</t>
        </is>
      </c>
      <c r="B40" s="9" t="n">
        <v>1</v>
      </c>
      <c r="C40" s="9" t="n">
        <v>5</v>
      </c>
      <c r="D40" s="9" t="inlineStr">
        <is>
          <t>人工降雪</t>
        </is>
      </c>
      <c r="E40" s="9" t="n">
        <v>1600</v>
      </c>
      <c r="F40" s="9" t="n">
        <v>2920</v>
      </c>
      <c r="G40" s="9" t="n">
        <v>2.26</v>
      </c>
      <c r="H40" s="14">
        <f>G40/F40*100</f>
        <v/>
      </c>
      <c r="I40" s="14">
        <f>IFERROR((G40/F40)/(SUMIFS($G$3:$G$98,$A$3:$A$98,A40,$B$3:$B$98,0)/SUMIFS($F$3:$F$98,$A$3:$A$98,A40,$B$3:$B$98,0)),"")</f>
        <v/>
      </c>
      <c r="J40" s="14">
        <f>IF(B40=0,1,IF(C40&lt;=1,G40-SUMIFS($G$3:$G$98,$A$3:$A$98,A40,$B$3:$B$98,0),G40-G39)/E40/(SUMIFS($G$3:$G$98,$A$3:$A$98,A40,$B$3:$B$98,0)/SUMIFS($F$3:$F$98,$A$3:$A$98,A40,$B$3:$B$98,0)))</f>
        <v/>
      </c>
      <c r="K40" s="9" t="n"/>
      <c r="L40" s="9" t="n"/>
      <c r="M40" s="14">
        <f>IF(OR(K40="",L40="",L40=0),"",K40/L40)</f>
        <v/>
      </c>
      <c r="N40" s="9" t="inlineStr">
        <is>
          <t>全场冻结</t>
        </is>
      </c>
      <c r="O40" s="9">
        <f>IF(B40=0,"基准",IF(AND(N40&lt;&gt;"",I40&lt;0.85),"功能型：单看输出偏低属正常",IF(I40&gt;=0.85,"划算",IF(I40&gt;=0.65,"略亏：空位紧张时仍值得","偏亏：建议降价或加强"))))</f>
        <v/>
      </c>
    </row>
    <row r="41">
      <c r="A41" s="9" t="inlineStr">
        <is>
          <t>frost</t>
        </is>
      </c>
      <c r="B41" s="9" t="n">
        <v>2</v>
      </c>
      <c r="C41" s="9" t="n">
        <v>1</v>
      </c>
      <c r="D41" s="9" t="inlineStr">
        <is>
          <t>加压</t>
        </is>
      </c>
      <c r="E41" s="9" t="n">
        <v>70</v>
      </c>
      <c r="F41" s="9" t="n">
        <v>190</v>
      </c>
      <c r="G41" s="9" t="n">
        <v>4.51</v>
      </c>
      <c r="H41" s="14">
        <f>G41/F41*100</f>
        <v/>
      </c>
      <c r="I41" s="14">
        <f>IFERROR((G41/F41)/(SUMIFS($G$3:$G$98,$A$3:$A$98,A41,$B$3:$B$98,0)/SUMIFS($F$3:$F$98,$A$3:$A$98,A41,$B$3:$B$98,0)),"")</f>
        <v/>
      </c>
      <c r="J41" s="14">
        <f>IF(B41=0,1,IF(C41&lt;=1,G41-SUMIFS($G$3:$G$98,$A$3:$A$98,A41,$B$3:$B$98,0),G41-G40)/E41/(SUMIFS($G$3:$G$98,$A$3:$A$98,A41,$B$3:$B$98,0)/SUMIFS($F$3:$F$98,$A$3:$A$98,A41,$B$3:$B$98,0)))</f>
        <v/>
      </c>
      <c r="K41" s="9" t="n">
        <v>0.387</v>
      </c>
      <c r="L41" s="9" t="n">
        <v>0.314</v>
      </c>
      <c r="M41" s="14">
        <f>IF(OR(K41="",L41="",L41=0),"",K41/L41)</f>
        <v/>
      </c>
      <c r="N41" s="9" t="inlineStr"/>
      <c r="O41" s="9">
        <f>IF(B41=0,"基准",IF(AND(N41&lt;&gt;"",I41&lt;0.85),"功能型：单看输出偏低属正常",IF(I41&gt;=0.85,"划算",IF(I41&gt;=0.65,"略亏：空位紧张时仍值得","偏亏：建议降价或加强"))))</f>
        <v/>
      </c>
    </row>
    <row r="42">
      <c r="A42" s="9" t="inlineStr">
        <is>
          <t>frost</t>
        </is>
      </c>
      <c r="B42" s="9" t="n">
        <v>2</v>
      </c>
      <c r="C42" s="9" t="n">
        <v>2</v>
      </c>
      <c r="D42" s="9" t="inlineStr">
        <is>
          <t>湿身</t>
        </is>
      </c>
      <c r="E42" s="9" t="n">
        <v>130</v>
      </c>
      <c r="F42" s="9" t="n">
        <v>320</v>
      </c>
      <c r="G42" s="9" t="n">
        <v>4.51</v>
      </c>
      <c r="H42" s="14">
        <f>G42/F42*100</f>
        <v/>
      </c>
      <c r="I42" s="14">
        <f>IFERROR((G42/F42)/(SUMIFS($G$3:$G$98,$A$3:$A$98,A42,$B$3:$B$98,0)/SUMIFS($F$3:$F$98,$A$3:$A$98,A42,$B$3:$B$98,0)),"")</f>
        <v/>
      </c>
      <c r="J42" s="14">
        <f>IF(B42=0,1,IF(C42&lt;=1,G42-SUMIFS($G$3:$G$98,$A$3:$A$98,A42,$B$3:$B$98,0),G42-G41)/E42/(SUMIFS($G$3:$G$98,$A$3:$A$98,A42,$B$3:$B$98,0)/SUMIFS($F$3:$F$98,$A$3:$A$98,A42,$B$3:$B$98,0)))</f>
        <v/>
      </c>
      <c r="K42" s="9" t="n">
        <v>0.473</v>
      </c>
      <c r="L42" s="9" t="n">
        <v>0.551</v>
      </c>
      <c r="M42" s="14">
        <f>IF(OR(K42="",L42="",L42=0),"",K42/L42)</f>
        <v/>
      </c>
      <c r="N42" s="9" t="inlineStr">
        <is>
          <t>易伤</t>
        </is>
      </c>
      <c r="O42" s="9">
        <f>IF(B42=0,"基准",IF(AND(N42&lt;&gt;"",I42&lt;0.85),"功能型：单看输出偏低属正常",IF(I42&gt;=0.85,"划算",IF(I42&gt;=0.65,"略亏：空位紧张时仍值得","偏亏：建议降价或加强"))))</f>
        <v/>
      </c>
    </row>
    <row r="43">
      <c r="A43" s="9" t="inlineStr">
        <is>
          <t>frost</t>
        </is>
      </c>
      <c r="B43" s="9" t="n">
        <v>2</v>
      </c>
      <c r="C43" s="9" t="n">
        <v>3</v>
      </c>
      <c r="D43" s="9" t="inlineStr">
        <is>
          <t>高压水柱</t>
        </is>
      </c>
      <c r="E43" s="9" t="n">
        <v>320</v>
      </c>
      <c r="F43" s="9" t="n">
        <v>640</v>
      </c>
      <c r="G43" s="9" t="n">
        <v>9.02</v>
      </c>
      <c r="H43" s="14">
        <f>G43/F43*100</f>
        <v/>
      </c>
      <c r="I43" s="14">
        <f>IFERROR((G43/F43)/(SUMIFS($G$3:$G$98,$A$3:$A$98,A43,$B$3:$B$98,0)/SUMIFS($F$3:$F$98,$A$3:$A$98,A43,$B$3:$B$98,0)),"")</f>
        <v/>
      </c>
      <c r="J43" s="14">
        <f>IF(B43=0,1,IF(C43&lt;=1,G43-SUMIFS($G$3:$G$98,$A$3:$A$98,A43,$B$3:$B$98,0),G43-G42)/E43/(SUMIFS($G$3:$G$98,$A$3:$A$98,A43,$B$3:$B$98,0)/SUMIFS($F$3:$F$98,$A$3:$A$98,A43,$B$3:$B$98,0)))</f>
        <v/>
      </c>
      <c r="K43" s="9" t="n">
        <v>0.837</v>
      </c>
      <c r="L43" s="9" t="n">
        <v>0.798</v>
      </c>
      <c r="M43" s="14">
        <f>IF(OR(K43="",L43="",L43=0),"",K43/L43)</f>
        <v/>
      </c>
      <c r="N43" s="9" t="inlineStr"/>
      <c r="O43" s="9">
        <f>IF(B43=0,"基准",IF(AND(N43&lt;&gt;"",I43&lt;0.85),"功能型：单看输出偏低属正常",IF(I43&gt;=0.85,"划算",IF(I43&gt;=0.65,"略亏：空位紧张时仍值得","偏亏：建议降价或加强"))))</f>
        <v/>
      </c>
    </row>
    <row r="44">
      <c r="A44" s="9" t="inlineStr">
        <is>
          <t>frost</t>
        </is>
      </c>
      <c r="B44" s="9" t="n">
        <v>2</v>
      </c>
      <c r="C44" s="9" t="n">
        <v>4</v>
      </c>
      <c r="D44" s="9" t="inlineStr">
        <is>
          <t>冰面</t>
        </is>
      </c>
      <c r="E44" s="9" t="n">
        <v>680</v>
      </c>
      <c r="F44" s="9" t="n">
        <v>1320</v>
      </c>
      <c r="G44" s="9" t="n">
        <v>9.02</v>
      </c>
      <c r="H44" s="14">
        <f>G44/F44*100</f>
        <v/>
      </c>
      <c r="I44" s="14">
        <f>IFERROR((G44/F44)/(SUMIFS($G$3:$G$98,$A$3:$A$98,A44,$B$3:$B$98,0)/SUMIFS($F$3:$F$98,$A$3:$A$98,A44,$B$3:$B$98,0)),"")</f>
        <v/>
      </c>
      <c r="J44" s="14">
        <f>IF(B44=0,1,IF(C44&lt;=1,G44-SUMIFS($G$3:$G$98,$A$3:$A$98,A44,$B$3:$B$98,0),G44-G43)/E44/(SUMIFS($G$3:$G$98,$A$3:$A$98,A44,$B$3:$B$98,0)/SUMIFS($F$3:$F$98,$A$3:$A$98,A44,$B$3:$B$98,0)))</f>
        <v/>
      </c>
      <c r="K44" s="9" t="n">
        <v>0.856</v>
      </c>
      <c r="L44" s="9" t="n">
        <v>1</v>
      </c>
      <c r="M44" s="14">
        <f>IF(OR(K44="",L44="",L44=0),"",K44/L44)</f>
        <v/>
      </c>
      <c r="N44" s="9" t="inlineStr">
        <is>
          <t>易伤</t>
        </is>
      </c>
      <c r="O44" s="9">
        <f>IF(B44=0,"基准",IF(AND(N44&lt;&gt;"",I44&lt;0.85),"功能型：单看输出偏低属正常",IF(I44&gt;=0.85,"划算",IF(I44&gt;=0.65,"略亏：空位紧张时仍值得","偏亏：建议降价或加强"))))</f>
        <v/>
      </c>
    </row>
    <row r="45">
      <c r="A45" s="9" t="inlineStr">
        <is>
          <t>frost</t>
        </is>
      </c>
      <c r="B45" s="9" t="n">
        <v>2</v>
      </c>
      <c r="C45" s="9" t="n">
        <v>5</v>
      </c>
      <c r="D45" s="9" t="inlineStr">
        <is>
          <t>消防水炮</t>
        </is>
      </c>
      <c r="E45" s="9" t="n">
        <v>1500</v>
      </c>
      <c r="F45" s="9" t="n">
        <v>2820</v>
      </c>
      <c r="G45" s="9" t="n">
        <v>56.14</v>
      </c>
      <c r="H45" s="14">
        <f>G45/F45*100</f>
        <v/>
      </c>
      <c r="I45" s="14">
        <f>IFERROR((G45/F45)/(SUMIFS($G$3:$G$98,$A$3:$A$98,A45,$B$3:$B$98,0)/SUMIFS($F$3:$F$98,$A$3:$A$98,A45,$B$3:$B$98,0)),"")</f>
        <v/>
      </c>
      <c r="J45" s="14">
        <f>IF(B45=0,1,IF(C45&lt;=1,G45-SUMIFS($G$3:$G$98,$A$3:$A$98,A45,$B$3:$B$98,0),G45-G44)/E45/(SUMIFS($G$3:$G$98,$A$3:$A$98,A45,$B$3:$B$98,0)/SUMIFS($F$3:$F$98,$A$3:$A$98,A45,$B$3:$B$98,0)))</f>
        <v/>
      </c>
      <c r="K45" s="9" t="n"/>
      <c r="L45" s="9" t="n"/>
      <c r="M45" s="14">
        <f>IF(OR(K45="",L45="",L45=0),"",K45/L45)</f>
        <v/>
      </c>
      <c r="N45" s="9" t="inlineStr"/>
      <c r="O45" s="9">
        <f>IF(B45=0,"基准",IF(AND(N45&lt;&gt;"",I45&lt;0.85),"功能型：单看输出偏低属正常",IF(I45&gt;=0.85,"划算",IF(I45&gt;=0.65,"略亏：空位紧张时仍值得","偏亏：建议降价或加强"))))</f>
        <v/>
      </c>
    </row>
    <row r="46">
      <c r="A46" s="9" t="inlineStr">
        <is>
          <t>frost</t>
        </is>
      </c>
      <c r="B46" s="9" t="n">
        <v>3</v>
      </c>
      <c r="C46" s="9" t="n">
        <v>1</v>
      </c>
      <c r="D46" s="9" t="inlineStr">
        <is>
          <t>喷头扩展</t>
        </is>
      </c>
      <c r="E46" s="9" t="n">
        <v>60</v>
      </c>
      <c r="F46" s="9" t="n">
        <v>180</v>
      </c>
      <c r="G46" s="9" t="n">
        <v>2.88</v>
      </c>
      <c r="H46" s="14">
        <f>G46/F46*100</f>
        <v/>
      </c>
      <c r="I46" s="14">
        <f>IFERROR((G46/F46)/(SUMIFS($G$3:$G$98,$A$3:$A$98,A46,$B$3:$B$98,0)/SUMIFS($F$3:$F$98,$A$3:$A$98,A46,$B$3:$B$98,0)),"")</f>
        <v/>
      </c>
      <c r="J46" s="14">
        <f>IF(B46=0,1,IF(C46&lt;=1,G46-SUMIFS($G$3:$G$98,$A$3:$A$98,A46,$B$3:$B$98,0),G46-G45)/E46/(SUMIFS($G$3:$G$98,$A$3:$A$98,A46,$B$3:$B$98,0)/SUMIFS($F$3:$F$98,$A$3:$A$98,A46,$B$3:$B$98,0)))</f>
        <v/>
      </c>
      <c r="K46" s="9" t="n">
        <v>0.347</v>
      </c>
      <c r="L46" s="9" t="n">
        <v>0.298</v>
      </c>
      <c r="M46" s="14">
        <f>IF(OR(K46="",L46="",L46=0),"",K46/L46)</f>
        <v/>
      </c>
      <c r="N46" s="9" t="inlineStr"/>
      <c r="O46" s="9">
        <f>IF(B46=0,"基准",IF(AND(N46&lt;&gt;"",I46&lt;0.85),"功能型：单看输出偏低属正常",IF(I46&gt;=0.85,"划算",IF(I46&gt;=0.65,"略亏：空位紧张时仍值得","偏亏：建议降价或加强"))))</f>
        <v/>
      </c>
    </row>
    <row r="47">
      <c r="A47" s="9" t="inlineStr">
        <is>
          <t>frost</t>
        </is>
      </c>
      <c r="B47" s="9" t="n">
        <v>3</v>
      </c>
      <c r="C47" s="9" t="n">
        <v>2</v>
      </c>
      <c r="D47" s="9" t="inlineStr">
        <is>
          <t>快速喷淋</t>
        </is>
      </c>
      <c r="E47" s="9" t="n">
        <v>110</v>
      </c>
      <c r="F47" s="9" t="n">
        <v>290</v>
      </c>
      <c r="G47" s="9" t="n">
        <v>3.6</v>
      </c>
      <c r="H47" s="14">
        <f>G47/F47*100</f>
        <v/>
      </c>
      <c r="I47" s="14">
        <f>IFERROR((G47/F47)/(SUMIFS($G$3:$G$98,$A$3:$A$98,A47,$B$3:$B$98,0)/SUMIFS($F$3:$F$98,$A$3:$A$98,A47,$B$3:$B$98,0)),"")</f>
        <v/>
      </c>
      <c r="J47" s="14">
        <f>IF(B47=0,1,IF(C47&lt;=1,G47-SUMIFS($G$3:$G$98,$A$3:$A$98,A47,$B$3:$B$98,0),G47-G46)/E47/(SUMIFS($G$3:$G$98,$A$3:$A$98,A47,$B$3:$B$98,0)/SUMIFS($F$3:$F$98,$A$3:$A$98,A47,$B$3:$B$98,0)))</f>
        <v/>
      </c>
      <c r="K47" s="9" t="n">
        <v>0.44</v>
      </c>
      <c r="L47" s="9" t="n">
        <v>0.492</v>
      </c>
      <c r="M47" s="14">
        <f>IF(OR(K47="",L47="",L47=0),"",K47/L47)</f>
        <v/>
      </c>
      <c r="N47" s="9" t="inlineStr"/>
      <c r="O47" s="9">
        <f>IF(B47=0,"基准",IF(AND(N47&lt;&gt;"",I47&lt;0.85),"功能型：单看输出偏低属正常",IF(I47&gt;=0.85,"划算",IF(I47&gt;=0.65,"略亏：空位紧张时仍值得","偏亏：建议降价或加强"))))</f>
        <v/>
      </c>
    </row>
    <row r="48">
      <c r="A48" s="9" t="inlineStr">
        <is>
          <t>frost</t>
        </is>
      </c>
      <c r="B48" s="9" t="n">
        <v>3</v>
      </c>
      <c r="C48" s="9" t="n">
        <v>3</v>
      </c>
      <c r="D48" s="9" t="inlineStr">
        <is>
          <t>泡水鞋</t>
        </is>
      </c>
      <c r="E48" s="9" t="n">
        <v>260</v>
      </c>
      <c r="F48" s="9" t="n">
        <v>550</v>
      </c>
      <c r="G48" s="9" t="n">
        <v>3.6</v>
      </c>
      <c r="H48" s="14">
        <f>G48/F48*100</f>
        <v/>
      </c>
      <c r="I48" s="14">
        <f>IFERROR((G48/F48)/(SUMIFS($G$3:$G$98,$A$3:$A$98,A48,$B$3:$B$98,0)/SUMIFS($F$3:$F$98,$A$3:$A$98,A48,$B$3:$B$98,0)),"")</f>
        <v/>
      </c>
      <c r="J48" s="14">
        <f>IF(B48=0,1,IF(C48&lt;=1,G48-SUMIFS($G$3:$G$98,$A$3:$A$98,A48,$B$3:$B$98,0),G48-G47)/E48/(SUMIFS($G$3:$G$98,$A$3:$A$98,A48,$B$3:$B$98,0)/SUMIFS($F$3:$F$98,$A$3:$A$98,A48,$B$3:$B$98,0)))</f>
        <v/>
      </c>
      <c r="K48" s="9" t="n">
        <v>0.483</v>
      </c>
      <c r="L48" s="9" t="n">
        <v>0.751</v>
      </c>
      <c r="M48" s="14">
        <f>IF(OR(K48="",L48="",L48=0),"",K48/L48)</f>
        <v/>
      </c>
      <c r="N48" s="9" t="inlineStr">
        <is>
          <t>破甲</t>
        </is>
      </c>
      <c r="O48" s="9">
        <f>IF(B48=0,"基准",IF(AND(N48&lt;&gt;"",I48&lt;0.85),"功能型：单看输出偏低属正常",IF(I48&gt;=0.85,"划算",IF(I48&gt;=0.65,"略亏：空位紧张时仍值得","偏亏：建议降价或加强"))))</f>
        <v/>
      </c>
    </row>
    <row r="49">
      <c r="A49" s="9" t="inlineStr">
        <is>
          <t>frost</t>
        </is>
      </c>
      <c r="B49" s="9" t="n">
        <v>3</v>
      </c>
      <c r="C49" s="9" t="n">
        <v>4</v>
      </c>
      <c r="D49" s="9" t="inlineStr">
        <is>
          <t>补水光环</t>
        </is>
      </c>
      <c r="E49" s="9" t="n">
        <v>600</v>
      </c>
      <c r="F49" s="9" t="n">
        <v>1150</v>
      </c>
      <c r="G49" s="9" t="n">
        <v>3.6</v>
      </c>
      <c r="H49" s="14">
        <f>G49/F49*100</f>
        <v/>
      </c>
      <c r="I49" s="14">
        <f>IFERROR((G49/F49)/(SUMIFS($G$3:$G$98,$A$3:$A$98,A49,$B$3:$B$98,0)/SUMIFS($F$3:$F$98,$A$3:$A$98,A49,$B$3:$B$98,0)),"")</f>
        <v/>
      </c>
      <c r="J49" s="14">
        <f>IF(B49=0,1,IF(C49&lt;=1,G49-SUMIFS($G$3:$G$98,$A$3:$A$98,A49,$B$3:$B$98,0),G49-G48)/E49/(SUMIFS($G$3:$G$98,$A$3:$A$98,A49,$B$3:$B$98,0)/SUMIFS($F$3:$F$98,$A$3:$A$98,A49,$B$3:$B$98,0)))</f>
        <v/>
      </c>
      <c r="K49" s="9" t="n">
        <v>0.479</v>
      </c>
      <c r="L49" s="9" t="n">
        <v>1</v>
      </c>
      <c r="M49" s="14">
        <f>IF(OR(K49="",L49="",L49=0),"",K49/L49)</f>
        <v/>
      </c>
      <c r="N49" s="9" t="inlineStr">
        <is>
          <t>光环</t>
        </is>
      </c>
      <c r="O49" s="9">
        <f>IF(B49=0,"基准",IF(AND(N49&lt;&gt;"",I49&lt;0.85),"功能型：单看输出偏低属正常",IF(I49&gt;=0.85,"划算",IF(I49&gt;=0.65,"略亏：空位紧张时仍值得","偏亏：建议降价或加强"))))</f>
        <v/>
      </c>
    </row>
    <row r="50">
      <c r="A50" s="9" t="inlineStr">
        <is>
          <t>frost</t>
        </is>
      </c>
      <c r="B50" s="9" t="n">
        <v>3</v>
      </c>
      <c r="C50" s="9" t="n">
        <v>5</v>
      </c>
      <c r="D50" s="9" t="inlineStr">
        <is>
          <t>能量饮料站</t>
        </is>
      </c>
      <c r="E50" s="9" t="n">
        <v>1300</v>
      </c>
      <c r="F50" s="9" t="n">
        <v>2450</v>
      </c>
      <c r="G50" s="9" t="n">
        <v>3.6</v>
      </c>
      <c r="H50" s="14">
        <f>G50/F50*100</f>
        <v/>
      </c>
      <c r="I50" s="14">
        <f>IFERROR((G50/F50)/(SUMIFS($G$3:$G$98,$A$3:$A$98,A50,$B$3:$B$98,0)/SUMIFS($F$3:$F$98,$A$3:$A$98,A50,$B$3:$B$98,0)),"")</f>
        <v/>
      </c>
      <c r="J50" s="14">
        <f>IF(B50=0,1,IF(C50&lt;=1,G50-SUMIFS($G$3:$G$98,$A$3:$A$98,A50,$B$3:$B$98,0),G50-G49)/E50/(SUMIFS($G$3:$G$98,$A$3:$A$98,A50,$B$3:$B$98,0)/SUMIFS($F$3:$F$98,$A$3:$A$98,A50,$B$3:$B$98,0)))</f>
        <v/>
      </c>
      <c r="K50" s="9" t="n"/>
      <c r="L50" s="9" t="n"/>
      <c r="M50" s="14">
        <f>IF(OR(K50="",L50="",L50=0),"",K50/L50)</f>
        <v/>
      </c>
      <c r="N50" s="9" t="inlineStr">
        <is>
          <t>光环</t>
        </is>
      </c>
      <c r="O50" s="9">
        <f>IF(B50=0,"基准",IF(AND(N50&lt;&gt;"",I50&lt;0.85),"功能型：单看输出偏低属正常",IF(I50&gt;=0.85,"划算",IF(I50&gt;=0.65,"略亏：空位紧张时仍值得","偏亏：建议降价或加强"))))</f>
        <v/>
      </c>
    </row>
    <row r="51">
      <c r="A51" s="9" t="inlineStr">
        <is>
          <t>sniper</t>
        </is>
      </c>
      <c r="B51" s="9" t="n">
        <v>0</v>
      </c>
      <c r="C51" s="9" t="n">
        <v>0</v>
      </c>
      <c r="D51" s="9" t="inlineStr">
        <is>
          <t>基础</t>
        </is>
      </c>
      <c r="E51" s="9" t="n">
        <v>180</v>
      </c>
      <c r="F51" s="9" t="n">
        <v>180</v>
      </c>
      <c r="G51" s="9" t="n">
        <v>3.95</v>
      </c>
      <c r="H51" s="14">
        <f>G51/F51*100</f>
        <v/>
      </c>
      <c r="I51" s="14">
        <f>IFERROR((G51/F51)/(SUMIFS($G$3:$G$98,$A$3:$A$98,A51,$B$3:$B$98,0)/SUMIFS($F$3:$F$98,$A$3:$A$98,A51,$B$3:$B$98,0)),"")</f>
        <v/>
      </c>
      <c r="J51" s="14">
        <f>IF(B51=0,1,IF(C51&lt;=1,G51-SUMIFS($G$3:$G$98,$A$3:$A$98,A51,$B$3:$B$98,0),G51-G50)/E51/(SUMIFS($G$3:$G$98,$A$3:$A$98,A51,$B$3:$B$98,0)/SUMIFS($F$3:$F$98,$A$3:$A$98,A51,$B$3:$B$98,0)))</f>
        <v/>
      </c>
      <c r="K51" s="9" t="n"/>
      <c r="L51" s="9" t="n"/>
      <c r="M51" s="14">
        <f>IF(OR(K51="",L51="",L51=0),"",K51/L51)</f>
        <v/>
      </c>
      <c r="N51" s="9" t="inlineStr"/>
      <c r="O51" s="9">
        <f>IF(B51=0,"基准",IF(AND(N51&lt;&gt;"",I51&lt;0.85),"功能型：单看输出偏低属正常",IF(I51&gt;=0.85,"划算",IF(I51&gt;=0.65,"略亏：空位紧张时仍值得","偏亏：建议降价或加强"))))</f>
        <v/>
      </c>
    </row>
    <row r="52">
      <c r="A52" s="9" t="inlineStr">
        <is>
          <t>sniper</t>
        </is>
      </c>
      <c r="B52" s="9" t="n">
        <v>1</v>
      </c>
      <c r="C52" s="9" t="n">
        <v>1</v>
      </c>
      <c r="D52" s="9" t="inlineStr">
        <is>
          <t>加重鞋盒</t>
        </is>
      </c>
      <c r="E52" s="9" t="n">
        <v>100</v>
      </c>
      <c r="F52" s="9" t="n">
        <v>280</v>
      </c>
      <c r="G52" s="9" t="n">
        <v>6.59</v>
      </c>
      <c r="H52" s="14">
        <f>G52/F52*100</f>
        <v/>
      </c>
      <c r="I52" s="14">
        <f>IFERROR((G52/F52)/(SUMIFS($G$3:$G$98,$A$3:$A$98,A52,$B$3:$B$98,0)/SUMIFS($F$3:$F$98,$A$3:$A$98,A52,$B$3:$B$98,0)),"")</f>
        <v/>
      </c>
      <c r="J52" s="14">
        <f>IF(B52=0,1,IF(C52&lt;=1,G52-SUMIFS($G$3:$G$98,$A$3:$A$98,A52,$B$3:$B$98,0),G52-G51)/E52/(SUMIFS($G$3:$G$98,$A$3:$A$98,A52,$B$3:$B$98,0)/SUMIFS($F$3:$F$98,$A$3:$A$98,A52,$B$3:$B$98,0)))</f>
        <v/>
      </c>
      <c r="K52" s="9" t="n">
        <v>0.619</v>
      </c>
      <c r="L52" s="9" t="n">
        <v>0.524</v>
      </c>
      <c r="M52" s="14">
        <f>IF(OR(K52="",L52="",L52=0),"",K52/L52)</f>
        <v/>
      </c>
      <c r="N52" s="9" t="inlineStr"/>
      <c r="O52" s="9">
        <f>IF(B52=0,"基准",IF(AND(N52&lt;&gt;"",I52&lt;0.85),"功能型：单看输出偏低属正常",IF(I52&gt;=0.85,"划算",IF(I52&gt;=0.65,"略亏：空位紧张时仍值得","偏亏：建议降价或加强"))))</f>
        <v/>
      </c>
    </row>
    <row r="53">
      <c r="A53" s="9" t="inlineStr">
        <is>
          <t>sniper</t>
        </is>
      </c>
      <c r="B53" s="9" t="n">
        <v>1</v>
      </c>
      <c r="C53" s="9" t="n">
        <v>2</v>
      </c>
      <c r="D53" s="9" t="inlineStr">
        <is>
          <t>大号鞋盒</t>
        </is>
      </c>
      <c r="E53" s="9" t="n">
        <v>180</v>
      </c>
      <c r="F53" s="9" t="n">
        <v>460</v>
      </c>
      <c r="G53" s="9" t="n">
        <v>10.54</v>
      </c>
      <c r="H53" s="14">
        <f>G53/F53*100</f>
        <v/>
      </c>
      <c r="I53" s="14">
        <f>IFERROR((G53/F53)/(SUMIFS($G$3:$G$98,$A$3:$A$98,A53,$B$3:$B$98,0)/SUMIFS($F$3:$F$98,$A$3:$A$98,A53,$B$3:$B$98,0)),"")</f>
        <v/>
      </c>
      <c r="J53" s="14">
        <f>IF(B53=0,1,IF(C53&lt;=1,G53-SUMIFS($G$3:$G$98,$A$3:$A$98,A53,$B$3:$B$98,0),G53-G52)/E53/(SUMIFS($G$3:$G$98,$A$3:$A$98,A53,$B$3:$B$98,0)/SUMIFS($F$3:$F$98,$A$3:$A$98,A53,$B$3:$B$98,0)))</f>
        <v/>
      </c>
      <c r="K53" s="9" t="n">
        <v>0.726</v>
      </c>
      <c r="L53" s="9" t="n">
        <v>0.793</v>
      </c>
      <c r="M53" s="14">
        <f>IF(OR(K53="",L53="",L53=0),"",K53/L53)</f>
        <v/>
      </c>
      <c r="N53" s="9" t="inlineStr"/>
      <c r="O53" s="9">
        <f>IF(B53=0,"基准",IF(AND(N53&lt;&gt;"",I53&lt;0.85),"功能型：单看输出偏低属正常",IF(I53&gt;=0.85,"划算",IF(I53&gt;=0.65,"略亏：空位紧张时仍值得","偏亏：建议降价或加强"))))</f>
        <v/>
      </c>
    </row>
    <row r="54">
      <c r="A54" s="9" t="inlineStr">
        <is>
          <t>sniper</t>
        </is>
      </c>
      <c r="B54" s="9" t="n">
        <v>1</v>
      </c>
      <c r="C54" s="9" t="n">
        <v>3</v>
      </c>
      <c r="D54" s="9" t="inlineStr">
        <is>
          <t>退赛通知</t>
        </is>
      </c>
      <c r="E54" s="9" t="n">
        <v>400</v>
      </c>
      <c r="F54" s="9" t="n">
        <v>860</v>
      </c>
      <c r="G54" s="9" t="n">
        <v>10.54</v>
      </c>
      <c r="H54" s="14">
        <f>G54/F54*100</f>
        <v/>
      </c>
      <c r="I54" s="14">
        <f>IFERROR((G54/F54)/(SUMIFS($G$3:$G$98,$A$3:$A$98,A54,$B$3:$B$98,0)/SUMIFS($F$3:$F$98,$A$3:$A$98,A54,$B$3:$B$98,0)),"")</f>
        <v/>
      </c>
      <c r="J54" s="14">
        <f>IF(B54=0,1,IF(C54&lt;=1,G54-SUMIFS($G$3:$G$98,$A$3:$A$98,A54,$B$3:$B$98,0),G54-G53)/E54/(SUMIFS($G$3:$G$98,$A$3:$A$98,A54,$B$3:$B$98,0)/SUMIFS($F$3:$F$98,$A$3:$A$98,A54,$B$3:$B$98,0)))</f>
        <v/>
      </c>
      <c r="K54" s="9" t="n">
        <v>0.757</v>
      </c>
      <c r="L54" s="9" t="n">
        <v>1</v>
      </c>
      <c r="M54" s="14">
        <f>IF(OR(K54="",L54="",L54=0),"",K54/L54)</f>
        <v/>
      </c>
      <c r="N54" s="9" t="inlineStr">
        <is>
          <t>处决</t>
        </is>
      </c>
      <c r="O54" s="9">
        <f>IF(B54=0,"基准",IF(AND(N54&lt;&gt;"",I54&lt;0.85),"功能型：单看输出偏低属正常",IF(I54&gt;=0.85,"划算",IF(I54&gt;=0.65,"略亏：空位紧张时仍值得","偏亏：建议降价或加强"))))</f>
        <v/>
      </c>
    </row>
    <row r="55">
      <c r="A55" s="9" t="inlineStr">
        <is>
          <t>sniper</t>
        </is>
      </c>
      <c r="B55" s="9" t="n">
        <v>1</v>
      </c>
      <c r="C55" s="9" t="n">
        <v>4</v>
      </c>
      <c r="D55" s="9" t="inlineStr">
        <is>
          <t>创世鞋盒</t>
        </is>
      </c>
      <c r="E55" s="9" t="n">
        <v>750</v>
      </c>
      <c r="F55" s="9" t="n">
        <v>1610</v>
      </c>
      <c r="G55" s="9" t="n">
        <v>21.08</v>
      </c>
      <c r="H55" s="14">
        <f>G55/F55*100</f>
        <v/>
      </c>
      <c r="I55" s="14">
        <f>IFERROR((G55/F55)/(SUMIFS($G$3:$G$98,$A$3:$A$98,A55,$B$3:$B$98,0)/SUMIFS($F$3:$F$98,$A$3:$A$98,A55,$B$3:$B$98,0)),"")</f>
        <v/>
      </c>
      <c r="J55" s="14">
        <f>IF(B55=0,1,IF(C55&lt;=1,G55-SUMIFS($G$3:$G$98,$A$3:$A$98,A55,$B$3:$B$98,0),G55-G54)/E55/(SUMIFS($G$3:$G$98,$A$3:$A$98,A55,$B$3:$B$98,0)/SUMIFS($F$3:$F$98,$A$3:$A$98,A55,$B$3:$B$98,0)))</f>
        <v/>
      </c>
      <c r="K55" s="9" t="n">
        <v>0.833</v>
      </c>
      <c r="L55" s="9" t="n">
        <v>1</v>
      </c>
      <c r="M55" s="14">
        <f>IF(OR(K55="",L55="",L55=0),"",K55/L55)</f>
        <v/>
      </c>
      <c r="N55" s="9" t="inlineStr">
        <is>
          <t>对 Boss</t>
        </is>
      </c>
      <c r="O55" s="9">
        <f>IF(B55=0,"基准",IF(AND(N55&lt;&gt;"",I55&lt;0.85),"功能型：单看输出偏低属正常",IF(I55&gt;=0.85,"划算",IF(I55&gt;=0.65,"略亏：空位紧张时仍值得","偏亏：建议降价或加强"))))</f>
        <v/>
      </c>
    </row>
    <row r="56">
      <c r="A56" s="9" t="inlineStr">
        <is>
          <t>sniper</t>
        </is>
      </c>
      <c r="B56" s="9" t="n">
        <v>1</v>
      </c>
      <c r="C56" s="9" t="n">
        <v>5</v>
      </c>
      <c r="D56" s="9" t="inlineStr">
        <is>
          <t>神秘箱轰炸</t>
        </is>
      </c>
      <c r="E56" s="9" t="n">
        <v>2000</v>
      </c>
      <c r="F56" s="9" t="n">
        <v>3610</v>
      </c>
      <c r="G56" s="9" t="n">
        <v>21.08</v>
      </c>
      <c r="H56" s="14">
        <f>G56/F56*100</f>
        <v/>
      </c>
      <c r="I56" s="14">
        <f>IFERROR((G56/F56)/(SUMIFS($G$3:$G$98,$A$3:$A$98,A56,$B$3:$B$98,0)/SUMIFS($F$3:$F$98,$A$3:$A$98,A56,$B$3:$B$98,0)),"")</f>
        <v/>
      </c>
      <c r="J56" s="14">
        <f>IF(B56=0,1,IF(C56&lt;=1,G56-SUMIFS($G$3:$G$98,$A$3:$A$98,A56,$B$3:$B$98,0),G56-G55)/E56/(SUMIFS($G$3:$G$98,$A$3:$A$98,A56,$B$3:$B$98,0)/SUMIFS($F$3:$F$98,$A$3:$A$98,A56,$B$3:$B$98,0)))</f>
        <v/>
      </c>
      <c r="K56" s="9" t="n"/>
      <c r="L56" s="9" t="n"/>
      <c r="M56" s="14">
        <f>IF(OR(K56="",L56="",L56=0),"",K56/L56)</f>
        <v/>
      </c>
      <c r="N56" s="9" t="inlineStr">
        <is>
          <t>处决</t>
        </is>
      </c>
      <c r="O56" s="9">
        <f>IF(B56=0,"基准",IF(AND(N56&lt;&gt;"",I56&lt;0.85),"功能型：单看输出偏低属正常",IF(I56&gt;=0.85,"划算",IF(I56&gt;=0.65,"略亏：空位紧张时仍值得","偏亏：建议降价或加强"))))</f>
        <v/>
      </c>
    </row>
    <row r="57">
      <c r="A57" s="9" t="inlineStr">
        <is>
          <t>sniper</t>
        </is>
      </c>
      <c r="B57" s="9" t="n">
        <v>2</v>
      </c>
      <c r="C57" s="9" t="n">
        <v>1</v>
      </c>
      <c r="D57" s="9" t="inlineStr">
        <is>
          <t>夜航</t>
        </is>
      </c>
      <c r="E57" s="9" t="n">
        <v>80</v>
      </c>
      <c r="F57" s="9" t="n">
        <v>260</v>
      </c>
      <c r="G57" s="9" t="n">
        <v>4.66</v>
      </c>
      <c r="H57" s="14">
        <f>G57/F57*100</f>
        <v/>
      </c>
      <c r="I57" s="14">
        <f>IFERROR((G57/F57)/(SUMIFS($G$3:$G$98,$A$3:$A$98,A57,$B$3:$B$98,0)/SUMIFS($F$3:$F$98,$A$3:$A$98,A57,$B$3:$B$98,0)),"")</f>
        <v/>
      </c>
      <c r="J57" s="14">
        <f>IF(B57=0,1,IF(C57&lt;=1,G57-SUMIFS($G$3:$G$98,$A$3:$A$98,A57,$B$3:$B$98,0),G57-G56)/E57/(SUMIFS($G$3:$G$98,$A$3:$A$98,A57,$B$3:$B$98,0)/SUMIFS($F$3:$F$98,$A$3:$A$98,A57,$B$3:$B$98,0)))</f>
        <v/>
      </c>
      <c r="K57" s="9" t="n">
        <v>0.422</v>
      </c>
      <c r="L57" s="9" t="n">
        <v>0.498</v>
      </c>
      <c r="M57" s="14">
        <f>IF(OR(K57="",L57="",L57=0),"",K57/L57)</f>
        <v/>
      </c>
      <c r="N57" s="9" t="inlineStr"/>
      <c r="O57" s="9">
        <f>IF(B57=0,"基准",IF(AND(N57&lt;&gt;"",I57&lt;0.85),"功能型：单看输出偏低属正常",IF(I57&gt;=0.85,"划算",IF(I57&gt;=0.65,"略亏：空位紧张时仍值得","偏亏：建议降价或加强"))))</f>
        <v/>
      </c>
    </row>
    <row r="58">
      <c r="A58" s="9" t="inlineStr">
        <is>
          <t>sniper</t>
        </is>
      </c>
      <c r="B58" s="9" t="n">
        <v>2</v>
      </c>
      <c r="C58" s="9" t="n">
        <v>2</v>
      </c>
      <c r="D58" s="9" t="inlineStr">
        <is>
          <t>快速装填</t>
        </is>
      </c>
      <c r="E58" s="9" t="n">
        <v>100</v>
      </c>
      <c r="F58" s="9" t="n">
        <v>360</v>
      </c>
      <c r="G58" s="9" t="n">
        <v>5.82</v>
      </c>
      <c r="H58" s="14">
        <f>G58/F58*100</f>
        <v/>
      </c>
      <c r="I58" s="14">
        <f>IFERROR((G58/F58)/(SUMIFS($G$3:$G$98,$A$3:$A$98,A58,$B$3:$B$98,0)/SUMIFS($F$3:$F$98,$A$3:$A$98,A58,$B$3:$B$98,0)),"")</f>
        <v/>
      </c>
      <c r="J58" s="14">
        <f>IF(B58=0,1,IF(C58&lt;=1,G58-SUMIFS($G$3:$G$98,$A$3:$A$98,A58,$B$3:$B$98,0),G58-G57)/E58/(SUMIFS($G$3:$G$98,$A$3:$A$98,A58,$B$3:$B$98,0)/SUMIFS($F$3:$F$98,$A$3:$A$98,A58,$B$3:$B$98,0)))</f>
        <v/>
      </c>
      <c r="K58" s="9" t="n">
        <v>0.594</v>
      </c>
      <c r="L58" s="9" t="n">
        <v>0.628</v>
      </c>
      <c r="M58" s="14">
        <f>IF(OR(K58="",L58="",L58=0),"",K58/L58)</f>
        <v/>
      </c>
      <c r="N58" s="9" t="inlineStr"/>
      <c r="O58" s="9">
        <f>IF(B58=0,"基准",IF(AND(N58&lt;&gt;"",I58&lt;0.85),"功能型：单看输出偏低属正常",IF(I58&gt;=0.85,"划算",IF(I58&gt;=0.65,"略亏：空位紧张时仍值得","偏亏：建议降价或加强"))))</f>
        <v/>
      </c>
    </row>
    <row r="59">
      <c r="A59" s="9" t="inlineStr">
        <is>
          <t>sniper</t>
        </is>
      </c>
      <c r="B59" s="9" t="n">
        <v>2</v>
      </c>
      <c r="C59" s="9" t="n">
        <v>3</v>
      </c>
      <c r="D59" s="9" t="inlineStr">
        <is>
          <t>双桨无人机</t>
        </is>
      </c>
      <c r="E59" s="9" t="n">
        <v>300</v>
      </c>
      <c r="F59" s="9" t="n">
        <v>660</v>
      </c>
      <c r="G59" s="9" t="n">
        <v>11.65</v>
      </c>
      <c r="H59" s="14">
        <f>G59/F59*100</f>
        <v/>
      </c>
      <c r="I59" s="14">
        <f>IFERROR((G59/F59)/(SUMIFS($G$3:$G$98,$A$3:$A$98,A59,$B$3:$B$98,0)/SUMIFS($F$3:$F$98,$A$3:$A$98,A59,$B$3:$B$98,0)),"")</f>
        <v/>
      </c>
      <c r="J59" s="14">
        <f>IF(B59=0,1,IF(C59&lt;=1,G59-SUMIFS($G$3:$G$98,$A$3:$A$98,A59,$B$3:$B$98,0),G59-G58)/E59/(SUMIFS($G$3:$G$98,$A$3:$A$98,A59,$B$3:$B$98,0)/SUMIFS($F$3:$F$98,$A$3:$A$98,A59,$B$3:$B$98,0)))</f>
        <v/>
      </c>
      <c r="K59" s="9" t="n">
        <v>0.897</v>
      </c>
      <c r="L59" s="9" t="n">
        <v>0.975</v>
      </c>
      <c r="M59" s="14">
        <f>IF(OR(K59="",L59="",L59=0),"",K59/L59)</f>
        <v/>
      </c>
      <c r="N59" s="9" t="inlineStr"/>
      <c r="O59" s="9">
        <f>IF(B59=0,"基准",IF(AND(N59&lt;&gt;"",I59&lt;0.85),"功能型：单看输出偏低属正常",IF(I59&gt;=0.85,"划算",IF(I59&gt;=0.65,"略亏：空位紧张时仍值得","偏亏：建议降价或加强"))))</f>
        <v/>
      </c>
    </row>
    <row r="60">
      <c r="A60" s="9" t="inlineStr">
        <is>
          <t>sniper</t>
        </is>
      </c>
      <c r="B60" s="9" t="n">
        <v>2</v>
      </c>
      <c r="C60" s="9" t="n">
        <v>4</v>
      </c>
      <c r="D60" s="9" t="inlineStr">
        <is>
          <t>无人机群</t>
        </is>
      </c>
      <c r="E60" s="9" t="n">
        <v>650</v>
      </c>
      <c r="F60" s="9" t="n">
        <v>1310</v>
      </c>
      <c r="G60" s="9" t="n">
        <v>19.41</v>
      </c>
      <c r="H60" s="14">
        <f>G60/F60*100</f>
        <v/>
      </c>
      <c r="I60" s="14">
        <f>IFERROR((G60/F60)/(SUMIFS($G$3:$G$98,$A$3:$A$98,A60,$B$3:$B$98,0)/SUMIFS($F$3:$F$98,$A$3:$A$98,A60,$B$3:$B$98,0)),"")</f>
        <v/>
      </c>
      <c r="J60" s="14">
        <f>IF(B60=0,1,IF(C60&lt;=1,G60-SUMIFS($G$3:$G$98,$A$3:$A$98,A60,$B$3:$B$98,0),G60-G59)/E60/(SUMIFS($G$3:$G$98,$A$3:$A$98,A60,$B$3:$B$98,0)/SUMIFS($F$3:$F$98,$A$3:$A$98,A60,$B$3:$B$98,0)))</f>
        <v/>
      </c>
      <c r="K60" s="9" t="n">
        <v>1</v>
      </c>
      <c r="L60" s="9" t="n">
        <v>1</v>
      </c>
      <c r="M60" s="14">
        <f>IF(OR(K60="",L60="",L60=0),"",K60/L60)</f>
        <v/>
      </c>
      <c r="N60" s="9" t="inlineStr"/>
      <c r="O60" s="9">
        <f>IF(B60=0,"基准",IF(AND(N60&lt;&gt;"",I60&lt;0.85),"功能型：单看输出偏低属正常",IF(I60&gt;=0.85,"划算",IF(I60&gt;=0.65,"略亏：空位紧张时仍值得","偏亏：建议降价或加强"))))</f>
        <v/>
      </c>
    </row>
    <row r="61">
      <c r="A61" s="9" t="inlineStr">
        <is>
          <t>sniper</t>
        </is>
      </c>
      <c r="B61" s="9" t="n">
        <v>2</v>
      </c>
      <c r="C61" s="9" t="n">
        <v>5</v>
      </c>
      <c r="D61" s="9" t="inlineStr">
        <is>
          <t>当日达</t>
        </is>
      </c>
      <c r="E61" s="9" t="n">
        <v>1900</v>
      </c>
      <c r="F61" s="9" t="n">
        <v>3210</v>
      </c>
      <c r="G61" s="9" t="n">
        <v>73.95</v>
      </c>
      <c r="H61" s="14">
        <f>G61/F61*100</f>
        <v/>
      </c>
      <c r="I61" s="14">
        <f>IFERROR((G61/F61)/(SUMIFS($G$3:$G$98,$A$3:$A$98,A61,$B$3:$B$98,0)/SUMIFS($F$3:$F$98,$A$3:$A$98,A61,$B$3:$B$98,0)),"")</f>
        <v/>
      </c>
      <c r="J61" s="14">
        <f>IF(B61=0,1,IF(C61&lt;=1,G61-SUMIFS($G$3:$G$98,$A$3:$A$98,A61,$B$3:$B$98,0),G61-G60)/E61/(SUMIFS($G$3:$G$98,$A$3:$A$98,A61,$B$3:$B$98,0)/SUMIFS($F$3:$F$98,$A$3:$A$98,A61,$B$3:$B$98,0)))</f>
        <v/>
      </c>
      <c r="K61" s="9" t="n"/>
      <c r="L61" s="9" t="n"/>
      <c r="M61" s="14">
        <f>IF(OR(K61="",L61="",L61=0),"",K61/L61)</f>
        <v/>
      </c>
      <c r="N61" s="9" t="inlineStr"/>
      <c r="O61" s="9">
        <f>IF(B61=0,"基准",IF(AND(N61&lt;&gt;"",I61&lt;0.85),"功能型：单看输出偏低属正常",IF(I61&gt;=0.85,"划算",IF(I61&gt;=0.65,"略亏：空位紧张时仍值得","偏亏：建议降价或加强"))))</f>
        <v/>
      </c>
    </row>
    <row r="62">
      <c r="A62" s="9" t="inlineStr">
        <is>
          <t>sniper</t>
        </is>
      </c>
      <c r="B62" s="9" t="n">
        <v>3</v>
      </c>
      <c r="C62" s="9" t="n">
        <v>1</v>
      </c>
      <c r="D62" s="9" t="inlineStr">
        <is>
          <t>震地</t>
        </is>
      </c>
      <c r="E62" s="9" t="n">
        <v>90</v>
      </c>
      <c r="F62" s="9" t="n">
        <v>270</v>
      </c>
      <c r="G62" s="9" t="n">
        <v>3.95</v>
      </c>
      <c r="H62" s="14">
        <f>G62/F62*100</f>
        <v/>
      </c>
      <c r="I62" s="14">
        <f>IFERROR((G62/F62)/(SUMIFS($G$3:$G$98,$A$3:$A$98,A62,$B$3:$B$98,0)/SUMIFS($F$3:$F$98,$A$3:$A$98,A62,$B$3:$B$98,0)),"")</f>
        <v/>
      </c>
      <c r="J62" s="14">
        <f>IF(B62=0,1,IF(C62&lt;=1,G62-SUMIFS($G$3:$G$98,$A$3:$A$98,A62,$B$3:$B$98,0),G62-G61)/E62/(SUMIFS($G$3:$G$98,$A$3:$A$98,A62,$B$3:$B$98,0)/SUMIFS($F$3:$F$98,$A$3:$A$98,A62,$B$3:$B$98,0)))</f>
        <v/>
      </c>
      <c r="K62" s="9" t="n">
        <v>0.372</v>
      </c>
      <c r="L62" s="9" t="n">
        <v>0.511</v>
      </c>
      <c r="M62" s="14">
        <f>IF(OR(K62="",L62="",L62=0),"",K62/L62)</f>
        <v/>
      </c>
      <c r="N62" s="9" t="inlineStr">
        <is>
          <t>眩晕</t>
        </is>
      </c>
      <c r="O62" s="9">
        <f>IF(B62=0,"基准",IF(AND(N62&lt;&gt;"",I62&lt;0.85),"功能型：单看输出偏低属正常",IF(I62&gt;=0.85,"划算",IF(I62&gt;=0.65,"略亏：空位紧张时仍值得","偏亏：建议降价或加强"))))</f>
        <v/>
      </c>
    </row>
    <row r="63">
      <c r="A63" s="9" t="inlineStr">
        <is>
          <t>sniper</t>
        </is>
      </c>
      <c r="B63" s="9" t="n">
        <v>3</v>
      </c>
      <c r="C63" s="9" t="n">
        <v>2</v>
      </c>
      <c r="D63" s="9" t="inlineStr">
        <is>
          <t>弹跳鞋盒</t>
        </is>
      </c>
      <c r="E63" s="9" t="n">
        <v>150</v>
      </c>
      <c r="F63" s="9" t="n">
        <v>420</v>
      </c>
      <c r="G63" s="9" t="n">
        <v>7.91</v>
      </c>
      <c r="H63" s="14">
        <f>G63/F63*100</f>
        <v/>
      </c>
      <c r="I63" s="14">
        <f>IFERROR((G63/F63)/(SUMIFS($G$3:$G$98,$A$3:$A$98,A63,$B$3:$B$98,0)/SUMIFS($F$3:$F$98,$A$3:$A$98,A63,$B$3:$B$98,0)),"")</f>
        <v/>
      </c>
      <c r="J63" s="14">
        <f>IF(B63=0,1,IF(C63&lt;=1,G63-SUMIFS($G$3:$G$98,$A$3:$A$98,A63,$B$3:$B$98,0),G63-G62)/E63/(SUMIFS($G$3:$G$98,$A$3:$A$98,A63,$B$3:$B$98,0)/SUMIFS($F$3:$F$98,$A$3:$A$98,A63,$B$3:$B$98,0)))</f>
        <v/>
      </c>
      <c r="K63" s="9" t="n">
        <v>0.703</v>
      </c>
      <c r="L63" s="9" t="n">
        <v>0.727</v>
      </c>
      <c r="M63" s="14">
        <f>IF(OR(K63="",L63="",L63=0),"",K63/L63)</f>
        <v/>
      </c>
      <c r="N63" s="9" t="inlineStr"/>
      <c r="O63" s="9">
        <f>IF(B63=0,"基准",IF(AND(N63&lt;&gt;"",I63&lt;0.85),"功能型：单看输出偏低属正常",IF(I63&gt;=0.85,"划算",IF(I63&gt;=0.65,"略亏：空位紧张时仍值得","偏亏：建议降价或加强"))))</f>
        <v/>
      </c>
    </row>
    <row r="64">
      <c r="A64" s="9" t="inlineStr">
        <is>
          <t>sniper</t>
        </is>
      </c>
      <c r="B64" s="9" t="n">
        <v>3</v>
      </c>
      <c r="C64" s="9" t="n">
        <v>3</v>
      </c>
      <c r="D64" s="9" t="inlineStr">
        <is>
          <t>GST 补给</t>
        </is>
      </c>
      <c r="E64" s="9" t="n">
        <v>360</v>
      </c>
      <c r="F64" s="9" t="n">
        <v>780</v>
      </c>
      <c r="G64" s="9" t="n">
        <v>7.91</v>
      </c>
      <c r="H64" s="14">
        <f>G64/F64*100</f>
        <v/>
      </c>
      <c r="I64" s="14">
        <f>IFERROR((G64/F64)/(SUMIFS($G$3:$G$98,$A$3:$A$98,A64,$B$3:$B$98,0)/SUMIFS($F$3:$F$98,$A$3:$A$98,A64,$B$3:$B$98,0)),"")</f>
        <v/>
      </c>
      <c r="J64" s="14">
        <f>IF(B64=0,1,IF(C64&lt;=1,G64-SUMIFS($G$3:$G$98,$A$3:$A$98,A64,$B$3:$B$98,0),G64-G63)/E64/(SUMIFS($G$3:$G$98,$A$3:$A$98,A64,$B$3:$B$98,0)/SUMIFS($F$3:$F$98,$A$3:$A$98,A64,$B$3:$B$98,0)))</f>
        <v/>
      </c>
      <c r="K64" s="9" t="n">
        <v>0.724</v>
      </c>
      <c r="L64" s="9" t="n">
        <v>1</v>
      </c>
      <c r="M64" s="14">
        <f>IF(OR(K64="",L64="",L64=0),"",K64/L64)</f>
        <v/>
      </c>
      <c r="N64" s="9" t="inlineStr">
        <is>
          <t>经济</t>
        </is>
      </c>
      <c r="O64" s="9">
        <f>IF(B64=0,"基准",IF(AND(N64&lt;&gt;"",I64&lt;0.85),"功能型：单看输出偏低属正常",IF(I64&gt;=0.85,"划算",IF(I64&gt;=0.65,"略亏：空位紧张时仍值得","偏亏：建议降价或加强"))))</f>
        <v/>
      </c>
    </row>
    <row r="65">
      <c r="A65" s="9" t="inlineStr">
        <is>
          <t>sniper</t>
        </is>
      </c>
      <c r="B65" s="9" t="n">
        <v>3</v>
      </c>
      <c r="C65" s="9" t="n">
        <v>4</v>
      </c>
      <c r="D65" s="9" t="inlineStr">
        <is>
          <t>GST 空投</t>
        </is>
      </c>
      <c r="E65" s="9" t="n">
        <v>700</v>
      </c>
      <c r="F65" s="9" t="n">
        <v>1480</v>
      </c>
      <c r="G65" s="9" t="n">
        <v>7.91</v>
      </c>
      <c r="H65" s="14">
        <f>G65/F65*100</f>
        <v/>
      </c>
      <c r="I65" s="14">
        <f>IFERROR((G65/F65)/(SUMIFS($G$3:$G$98,$A$3:$A$98,A65,$B$3:$B$98,0)/SUMIFS($F$3:$F$98,$A$3:$A$98,A65,$B$3:$B$98,0)),"")</f>
        <v/>
      </c>
      <c r="J65" s="14">
        <f>IF(B65=0,1,IF(C65&lt;=1,G65-SUMIFS($G$3:$G$98,$A$3:$A$98,A65,$B$3:$B$98,0),G65-G64)/E65/(SUMIFS($G$3:$G$98,$A$3:$A$98,A65,$B$3:$B$98,0)/SUMIFS($F$3:$F$98,$A$3:$A$98,A65,$B$3:$B$98,0)))</f>
        <v/>
      </c>
      <c r="K65" s="9" t="n">
        <v>0.669</v>
      </c>
      <c r="L65" s="9" t="n">
        <v>1</v>
      </c>
      <c r="M65" s="14">
        <f>IF(OR(K65="",L65="",L65=0),"",K65/L65)</f>
        <v/>
      </c>
      <c r="N65" s="9" t="inlineStr">
        <is>
          <t>经济</t>
        </is>
      </c>
      <c r="O65" s="9">
        <f>IF(B65=0,"基准",IF(AND(N65&lt;&gt;"",I65&lt;0.85),"功能型：单看输出偏低属正常",IF(I65&gt;=0.85,"划算",IF(I65&gt;=0.65,"略亏：空位紧张时仍值得","偏亏：建议降价或加强"))))</f>
        <v/>
      </c>
    </row>
    <row r="66">
      <c r="A66" s="9" t="inlineStr">
        <is>
          <t>sniper</t>
        </is>
      </c>
      <c r="B66" s="9" t="n">
        <v>3</v>
      </c>
      <c r="C66" s="9" t="n">
        <v>5</v>
      </c>
      <c r="D66" s="9" t="inlineStr">
        <is>
          <t>空中支援</t>
        </is>
      </c>
      <c r="E66" s="9" t="n">
        <v>1500</v>
      </c>
      <c r="F66" s="9" t="n">
        <v>2980</v>
      </c>
      <c r="G66" s="9" t="n">
        <v>7.91</v>
      </c>
      <c r="H66" s="14">
        <f>G66/F66*100</f>
        <v/>
      </c>
      <c r="I66" s="14">
        <f>IFERROR((G66/F66)/(SUMIFS($G$3:$G$98,$A$3:$A$98,A66,$B$3:$B$98,0)/SUMIFS($F$3:$F$98,$A$3:$A$98,A66,$B$3:$B$98,0)),"")</f>
        <v/>
      </c>
      <c r="J66" s="14">
        <f>IF(B66=0,1,IF(C66&lt;=1,G66-SUMIFS($G$3:$G$98,$A$3:$A$98,A66,$B$3:$B$98,0),G66-G65)/E66/(SUMIFS($G$3:$G$98,$A$3:$A$98,A66,$B$3:$B$98,0)/SUMIFS($F$3:$F$98,$A$3:$A$98,A66,$B$3:$B$98,0)))</f>
        <v/>
      </c>
      <c r="K66" s="9" t="n"/>
      <c r="L66" s="9" t="n"/>
      <c r="M66" s="14">
        <f>IF(OR(K66="",L66="",L66=0),"",K66/L66)</f>
        <v/>
      </c>
      <c r="N66" s="9" t="inlineStr">
        <is>
          <t>全局增伤</t>
        </is>
      </c>
      <c r="O66" s="9">
        <f>IF(B66=0,"基准",IF(AND(N66&lt;&gt;"",I66&lt;0.85),"功能型：单看输出偏低属正常",IF(I66&gt;=0.85,"划算",IF(I66&gt;=0.65,"略亏：空位紧张时仍值得","偏亏：建议降价或加强"))))</f>
        <v/>
      </c>
    </row>
    <row r="67">
      <c r="A67" s="9" t="inlineStr">
        <is>
          <t>tesla</t>
        </is>
      </c>
      <c r="B67" s="9" t="n">
        <v>0</v>
      </c>
      <c r="C67" s="9" t="n">
        <v>0</v>
      </c>
      <c r="D67" s="9" t="inlineStr">
        <is>
          <t>基础</t>
        </is>
      </c>
      <c r="E67" s="9" t="n">
        <v>150</v>
      </c>
      <c r="F67" s="9" t="n">
        <v>150</v>
      </c>
      <c r="G67" s="9" t="n">
        <v>6.4</v>
      </c>
      <c r="H67" s="14">
        <f>G67/F67*100</f>
        <v/>
      </c>
      <c r="I67" s="14">
        <f>IFERROR((G67/F67)/(SUMIFS($G$3:$G$98,$A$3:$A$98,A67,$B$3:$B$98,0)/SUMIFS($F$3:$F$98,$A$3:$A$98,A67,$B$3:$B$98,0)),"")</f>
        <v/>
      </c>
      <c r="J67" s="14">
        <f>IF(B67=0,1,IF(C67&lt;=1,G67-SUMIFS($G$3:$G$98,$A$3:$A$98,A67,$B$3:$B$98,0),G67-G66)/E67/(SUMIFS($G$3:$G$98,$A$3:$A$98,A67,$B$3:$B$98,0)/SUMIFS($F$3:$F$98,$A$3:$A$98,A67,$B$3:$B$98,0)))</f>
        <v/>
      </c>
      <c r="K67" s="9" t="n"/>
      <c r="L67" s="9" t="n"/>
      <c r="M67" s="14">
        <f>IF(OR(K67="",L67="",L67=0),"",K67/L67)</f>
        <v/>
      </c>
      <c r="N67" s="9" t="inlineStr"/>
      <c r="O67" s="9">
        <f>IF(B67=0,"基准",IF(AND(N67&lt;&gt;"",I67&lt;0.85),"功能型：单看输出偏低属正常",IF(I67&gt;=0.85,"划算",IF(I67&gt;=0.65,"略亏：空位紧张时仍值得","偏亏：建议降价或加强"))))</f>
        <v/>
      </c>
    </row>
    <row r="68">
      <c r="A68" s="9" t="inlineStr">
        <is>
          <t>tesla</t>
        </is>
      </c>
      <c r="B68" s="9" t="n">
        <v>1</v>
      </c>
      <c r="C68" s="9" t="n">
        <v>1</v>
      </c>
      <c r="D68" s="9" t="inlineStr">
        <is>
          <t>小音箱</t>
        </is>
      </c>
      <c r="E68" s="9" t="n">
        <v>50</v>
      </c>
      <c r="F68" s="9" t="n">
        <v>200</v>
      </c>
      <c r="G68" s="9" t="n">
        <v>7.93</v>
      </c>
      <c r="H68" s="14">
        <f>G68/F68*100</f>
        <v/>
      </c>
      <c r="I68" s="14">
        <f>IFERROR((G68/F68)/(SUMIFS($G$3:$G$98,$A$3:$A$98,A68,$B$3:$B$98,0)/SUMIFS($F$3:$F$98,$A$3:$A$98,A68,$B$3:$B$98,0)),"")</f>
        <v/>
      </c>
      <c r="J68" s="14">
        <f>IF(B68=0,1,IF(C68&lt;=1,G68-SUMIFS($G$3:$G$98,$A$3:$A$98,A68,$B$3:$B$98,0),G68-G67)/E68/(SUMIFS($G$3:$G$98,$A$3:$A$98,A68,$B$3:$B$98,0)/SUMIFS($F$3:$F$98,$A$3:$A$98,A68,$B$3:$B$98,0)))</f>
        <v/>
      </c>
      <c r="K68" s="9" t="n">
        <v>0.285</v>
      </c>
      <c r="L68" s="9" t="n">
        <v>0.292</v>
      </c>
      <c r="M68" s="14">
        <f>IF(OR(K68="",L68="",L68=0),"",K68/L68)</f>
        <v/>
      </c>
      <c r="N68" s="9" t="inlineStr"/>
      <c r="O68" s="9">
        <f>IF(B68=0,"基准",IF(AND(N68&lt;&gt;"",I68&lt;0.85),"功能型：单看输出偏低属正常",IF(I68&gt;=0.85,"划算",IF(I68&gt;=0.65,"略亏：空位紧张时仍值得","偏亏：建议降价或加强"))))</f>
        <v/>
      </c>
    </row>
    <row r="69">
      <c r="A69" s="9" t="inlineStr">
        <is>
          <t>tesla</t>
        </is>
      </c>
      <c r="B69" s="9" t="n">
        <v>1</v>
      </c>
      <c r="C69" s="9" t="n">
        <v>2</v>
      </c>
      <c r="D69" s="9" t="inlineStr">
        <is>
          <t>蓝牙串联</t>
        </is>
      </c>
      <c r="E69" s="9" t="n">
        <v>90</v>
      </c>
      <c r="F69" s="9" t="n">
        <v>290</v>
      </c>
      <c r="G69" s="9" t="n">
        <v>10.33</v>
      </c>
      <c r="H69" s="14">
        <f>G69/F69*100</f>
        <v/>
      </c>
      <c r="I69" s="14">
        <f>IFERROR((G69/F69)/(SUMIFS($G$3:$G$98,$A$3:$A$98,A69,$B$3:$B$98,0)/SUMIFS($F$3:$F$98,$A$3:$A$98,A69,$B$3:$B$98,0)),"")</f>
        <v/>
      </c>
      <c r="J69" s="14">
        <f>IF(B69=0,1,IF(C69&lt;=1,G69-SUMIFS($G$3:$G$98,$A$3:$A$98,A69,$B$3:$B$98,0),G69-G68)/E69/(SUMIFS($G$3:$G$98,$A$3:$A$98,A69,$B$3:$B$98,0)/SUMIFS($F$3:$F$98,$A$3:$A$98,A69,$B$3:$B$98,0)))</f>
        <v/>
      </c>
      <c r="K69" s="9" t="n">
        <v>0.357</v>
      </c>
      <c r="L69" s="9" t="n">
        <v>0.386</v>
      </c>
      <c r="M69" s="14">
        <f>IF(OR(K69="",L69="",L69=0),"",K69/L69)</f>
        <v/>
      </c>
      <c r="N69" s="9" t="inlineStr"/>
      <c r="O69" s="9">
        <f>IF(B69=0,"基准",IF(AND(N69&lt;&gt;"",I69&lt;0.85),"功能型：单看输出偏低属正常",IF(I69&gt;=0.85,"划算",IF(I69&gt;=0.65,"略亏：空位紧张时仍值得","偏亏：建议降价或加强"))))</f>
        <v/>
      </c>
    </row>
    <row r="70">
      <c r="A70" s="9" t="inlineStr">
        <is>
          <t>tesla</t>
        </is>
      </c>
      <c r="B70" s="9" t="n">
        <v>1</v>
      </c>
      <c r="C70" s="9" t="n">
        <v>3</v>
      </c>
      <c r="D70" s="9" t="inlineStr">
        <is>
          <t>无损音质</t>
        </is>
      </c>
      <c r="E70" s="9" t="n">
        <v>320</v>
      </c>
      <c r="F70" s="9" t="n">
        <v>610</v>
      </c>
      <c r="G70" s="9" t="n">
        <v>22.4</v>
      </c>
      <c r="H70" s="14">
        <f>G70/F70*100</f>
        <v/>
      </c>
      <c r="I70" s="14">
        <f>IFERROR((G70/F70)/(SUMIFS($G$3:$G$98,$A$3:$A$98,A70,$B$3:$B$98,0)/SUMIFS($F$3:$F$98,$A$3:$A$98,A70,$B$3:$B$98,0)),"")</f>
        <v/>
      </c>
      <c r="J70" s="14">
        <f>IF(B70=0,1,IF(C70&lt;=1,G70-SUMIFS($G$3:$G$98,$A$3:$A$98,A70,$B$3:$B$98,0),G70-G69)/E70/(SUMIFS($G$3:$G$98,$A$3:$A$98,A70,$B$3:$B$98,0)/SUMIFS($F$3:$F$98,$A$3:$A$98,A70,$B$3:$B$98,0)))</f>
        <v/>
      </c>
      <c r="K70" s="9" t="n">
        <v>0.651</v>
      </c>
      <c r="L70" s="9" t="n">
        <v>0.6899999999999999</v>
      </c>
      <c r="M70" s="14">
        <f>IF(OR(K70="",L70="",L70=0),"",K70/L70)</f>
        <v/>
      </c>
      <c r="N70" s="9" t="inlineStr"/>
      <c r="O70" s="9">
        <f>IF(B70=0,"基准",IF(AND(N70&lt;&gt;"",I70&lt;0.85),"功能型：单看输出偏低属正常",IF(I70&gt;=0.85,"划算",IF(I70&gt;=0.65,"略亏：空位紧张时仍值得","偏亏：建议降价或加强"))))</f>
        <v/>
      </c>
    </row>
    <row r="71">
      <c r="A71" s="9" t="inlineStr">
        <is>
          <t>tesla</t>
        </is>
      </c>
      <c r="B71" s="9" t="n">
        <v>1</v>
      </c>
      <c r="C71" s="9" t="n">
        <v>4</v>
      </c>
      <c r="D71" s="9" t="inlineStr">
        <is>
          <t>双声道</t>
        </is>
      </c>
      <c r="E71" s="9" t="n">
        <v>750</v>
      </c>
      <c r="F71" s="9" t="n">
        <v>1360</v>
      </c>
      <c r="G71" s="9" t="n">
        <v>44.8</v>
      </c>
      <c r="H71" s="14">
        <f>G71/F71*100</f>
        <v/>
      </c>
      <c r="I71" s="14">
        <f>IFERROR((G71/F71)/(SUMIFS($G$3:$G$98,$A$3:$A$98,A71,$B$3:$B$98,0)/SUMIFS($F$3:$F$98,$A$3:$A$98,A71,$B$3:$B$98,0)),"")</f>
        <v/>
      </c>
      <c r="J71" s="14">
        <f>IF(B71=0,1,IF(C71&lt;=1,G71-SUMIFS($G$3:$G$98,$A$3:$A$98,A71,$B$3:$B$98,0),G71-G70)/E71/(SUMIFS($G$3:$G$98,$A$3:$A$98,A71,$B$3:$B$98,0)/SUMIFS($F$3:$F$98,$A$3:$A$98,A71,$B$3:$B$98,0)))</f>
        <v/>
      </c>
      <c r="K71" s="9" t="n">
        <v>0.724</v>
      </c>
      <c r="L71" s="9" t="n">
        <v>1</v>
      </c>
      <c r="M71" s="14">
        <f>IF(OR(K71="",L71="",L71=0),"",K71/L71)</f>
        <v/>
      </c>
      <c r="N71" s="9" t="inlineStr"/>
      <c r="O71" s="9">
        <f>IF(B71=0,"基准",IF(AND(N71&lt;&gt;"",I71&lt;0.85),"功能型：单看输出偏低属正常",IF(I71&gt;=0.85,"划算",IF(I71&gt;=0.65,"略亏：空位紧张时仍值得","偏亏：建议降价或加强"))))</f>
        <v/>
      </c>
    </row>
    <row r="72">
      <c r="A72" s="9" t="inlineStr">
        <is>
          <t>tesla</t>
        </is>
      </c>
      <c r="B72" s="9" t="n">
        <v>1</v>
      </c>
      <c r="C72" s="9" t="n">
        <v>5</v>
      </c>
      <c r="D72" s="9" t="inlineStr">
        <is>
          <t>全城广场舞</t>
        </is>
      </c>
      <c r="E72" s="9" t="n">
        <v>1700</v>
      </c>
      <c r="F72" s="9" t="n">
        <v>3060</v>
      </c>
      <c r="G72" s="9" t="n">
        <v>179.2</v>
      </c>
      <c r="H72" s="14">
        <f>G72/F72*100</f>
        <v/>
      </c>
      <c r="I72" s="14">
        <f>IFERROR((G72/F72)/(SUMIFS($G$3:$G$98,$A$3:$A$98,A72,$B$3:$B$98,0)/SUMIFS($F$3:$F$98,$A$3:$A$98,A72,$B$3:$B$98,0)),"")</f>
        <v/>
      </c>
      <c r="J72" s="14">
        <f>IF(B72=0,1,IF(C72&lt;=1,G72-SUMIFS($G$3:$G$98,$A$3:$A$98,A72,$B$3:$B$98,0),G72-G71)/E72/(SUMIFS($G$3:$G$98,$A$3:$A$98,A72,$B$3:$B$98,0)/SUMIFS($F$3:$F$98,$A$3:$A$98,A72,$B$3:$B$98,0)))</f>
        <v/>
      </c>
      <c r="K72" s="9" t="n"/>
      <c r="L72" s="9" t="n"/>
      <c r="M72" s="14">
        <f>IF(OR(K72="",L72="",L72=0),"",K72/L72)</f>
        <v/>
      </c>
      <c r="N72" s="9" t="inlineStr"/>
      <c r="O72" s="9">
        <f>IF(B72=0,"基准",IF(AND(N72&lt;&gt;"",I72&lt;0.85),"功能型：单看输出偏低属正常",IF(I72&gt;=0.85,"划算",IF(I72&gt;=0.65,"略亏：空位紧张时仍值得","偏亏：建议降价或加强"))))</f>
        <v/>
      </c>
    </row>
    <row r="73">
      <c r="A73" s="9" t="inlineStr">
        <is>
          <t>tesla</t>
        </is>
      </c>
      <c r="B73" s="9" t="n">
        <v>2</v>
      </c>
      <c r="C73" s="9" t="n">
        <v>1</v>
      </c>
      <c r="D73" s="9" t="inlineStr">
        <is>
          <t>低音炮</t>
        </is>
      </c>
      <c r="E73" s="9" t="n">
        <v>90</v>
      </c>
      <c r="F73" s="9" t="n">
        <v>240</v>
      </c>
      <c r="G73" s="9" t="n">
        <v>11.2</v>
      </c>
      <c r="H73" s="14">
        <f>G73/F73*100</f>
        <v/>
      </c>
      <c r="I73" s="14">
        <f>IFERROR((G73/F73)/(SUMIFS($G$3:$G$98,$A$3:$A$98,A73,$B$3:$B$98,0)/SUMIFS($F$3:$F$98,$A$3:$A$98,A73,$B$3:$B$98,0)),"")</f>
        <v/>
      </c>
      <c r="J73" s="14">
        <f>IF(B73=0,1,IF(C73&lt;=1,G73-SUMIFS($G$3:$G$98,$A$3:$A$98,A73,$B$3:$B$98,0),G73-G72)/E73/(SUMIFS($G$3:$G$98,$A$3:$A$98,A73,$B$3:$B$98,0)/SUMIFS($F$3:$F$98,$A$3:$A$98,A73,$B$3:$B$98,0)))</f>
        <v/>
      </c>
      <c r="K73" s="9" t="n">
        <v>0.321</v>
      </c>
      <c r="L73" s="9" t="n">
        <v>0.334</v>
      </c>
      <c r="M73" s="14">
        <f>IF(OR(K73="",L73="",L73=0),"",K73/L73)</f>
        <v/>
      </c>
      <c r="N73" s="9" t="inlineStr"/>
      <c r="O73" s="9">
        <f>IF(B73=0,"基准",IF(AND(N73&lt;&gt;"",I73&lt;0.85),"功能型：单看输出偏低属正常",IF(I73&gt;=0.85,"划算",IF(I73&gt;=0.65,"略亏：空位紧张时仍值得","偏亏：建议降价或加强"))))</f>
        <v/>
      </c>
    </row>
    <row r="74">
      <c r="A74" s="9" t="inlineStr">
        <is>
          <t>tesla</t>
        </is>
      </c>
      <c r="B74" s="9" t="n">
        <v>2</v>
      </c>
      <c r="C74" s="9" t="n">
        <v>2</v>
      </c>
      <c r="D74" s="9" t="inlineStr">
        <is>
          <t>大功率</t>
        </is>
      </c>
      <c r="E74" s="9" t="n">
        <v>150</v>
      </c>
      <c r="F74" s="9" t="n">
        <v>390</v>
      </c>
      <c r="G74" s="9" t="n">
        <v>17.61</v>
      </c>
      <c r="H74" s="14">
        <f>G74/F74*100</f>
        <v/>
      </c>
      <c r="I74" s="14">
        <f>IFERROR((G74/F74)/(SUMIFS($G$3:$G$98,$A$3:$A$98,A74,$B$3:$B$98,0)/SUMIFS($F$3:$F$98,$A$3:$A$98,A74,$B$3:$B$98,0)),"")</f>
        <v/>
      </c>
      <c r="J74" s="14">
        <f>IF(B74=0,1,IF(C74&lt;=1,G74-SUMIFS($G$3:$G$98,$A$3:$A$98,A74,$B$3:$B$98,0),G74-G73)/E74/(SUMIFS($G$3:$G$98,$A$3:$A$98,A74,$B$3:$B$98,0)/SUMIFS($F$3:$F$98,$A$3:$A$98,A74,$B$3:$B$98,0)))</f>
        <v/>
      </c>
      <c r="K74" s="9" t="n">
        <v>0.6</v>
      </c>
      <c r="L74" s="9" t="n">
        <v>0.466</v>
      </c>
      <c r="M74" s="14">
        <f>IF(OR(K74="",L74="",L74=0),"",K74/L74)</f>
        <v/>
      </c>
      <c r="N74" s="9" t="inlineStr"/>
      <c r="O74" s="9">
        <f>IF(B74=0,"基准",IF(AND(N74&lt;&gt;"",I74&lt;0.85),"功能型：单看输出偏低属正常",IF(I74&gt;=0.85,"划算",IF(I74&gt;=0.65,"略亏：空位紧张时仍值得","偏亏：建议降价或加强"))))</f>
        <v/>
      </c>
    </row>
    <row r="75">
      <c r="A75" s="9" t="inlineStr">
        <is>
          <t>tesla</t>
        </is>
      </c>
      <c r="B75" s="9" t="n">
        <v>2</v>
      </c>
      <c r="C75" s="9" t="n">
        <v>3</v>
      </c>
      <c r="D75" s="9" t="inlineStr">
        <is>
          <t>重低音</t>
        </is>
      </c>
      <c r="E75" s="9" t="n">
        <v>380</v>
      </c>
      <c r="F75" s="9" t="n">
        <v>770</v>
      </c>
      <c r="G75" s="9" t="n">
        <v>26.41</v>
      </c>
      <c r="H75" s="14">
        <f>G75/F75*100</f>
        <v/>
      </c>
      <c r="I75" s="14">
        <f>IFERROR((G75/F75)/(SUMIFS($G$3:$G$98,$A$3:$A$98,A75,$B$3:$B$98,0)/SUMIFS($F$3:$F$98,$A$3:$A$98,A75,$B$3:$B$98,0)),"")</f>
        <v/>
      </c>
      <c r="J75" s="14">
        <f>IF(B75=0,1,IF(C75&lt;=1,G75-SUMIFS($G$3:$G$98,$A$3:$A$98,A75,$B$3:$B$98,0),G75-G74)/E75/(SUMIFS($G$3:$G$98,$A$3:$A$98,A75,$B$3:$B$98,0)/SUMIFS($F$3:$F$98,$A$3:$A$98,A75,$B$3:$B$98,0)))</f>
        <v/>
      </c>
      <c r="K75" s="9" t="n">
        <v>0.621</v>
      </c>
      <c r="L75" s="9" t="n">
        <v>0.8080000000000001</v>
      </c>
      <c r="M75" s="14">
        <f>IF(OR(K75="",L75="",L75=0),"",K75/L75)</f>
        <v/>
      </c>
      <c r="N75" s="9" t="inlineStr"/>
      <c r="O75" s="9">
        <f>IF(B75=0,"基准",IF(AND(N75&lt;&gt;"",I75&lt;0.85),"功能型：单看输出偏低属正常",IF(I75&gt;=0.85,"划算",IF(I75&gt;=0.65,"略亏：空位紧张时仍值得","偏亏：建议降价或加强"))))</f>
        <v/>
      </c>
    </row>
    <row r="76">
      <c r="A76" s="9" t="inlineStr">
        <is>
          <t>tesla</t>
        </is>
      </c>
      <c r="B76" s="9" t="n">
        <v>2</v>
      </c>
      <c r="C76" s="9" t="n">
        <v>4</v>
      </c>
      <c r="D76" s="9" t="inlineStr">
        <is>
          <t>炸街</t>
        </is>
      </c>
      <c r="E76" s="9" t="n">
        <v>800</v>
      </c>
      <c r="F76" s="9" t="n">
        <v>1570</v>
      </c>
      <c r="G76" s="9" t="n">
        <v>52.82</v>
      </c>
      <c r="H76" s="14">
        <f>G76/F76*100</f>
        <v/>
      </c>
      <c r="I76" s="14">
        <f>IFERROR((G76/F76)/(SUMIFS($G$3:$G$98,$A$3:$A$98,A76,$B$3:$B$98,0)/SUMIFS($F$3:$F$98,$A$3:$A$98,A76,$B$3:$B$98,0)),"")</f>
        <v/>
      </c>
      <c r="J76" s="14">
        <f>IF(B76=0,1,IF(C76&lt;=1,G76-SUMIFS($G$3:$G$98,$A$3:$A$98,A76,$B$3:$B$98,0),G76-G75)/E76/(SUMIFS($G$3:$G$98,$A$3:$A$98,A76,$B$3:$B$98,0)/SUMIFS($F$3:$F$98,$A$3:$A$98,A76,$B$3:$B$98,0)))</f>
        <v/>
      </c>
      <c r="K76" s="9" t="n">
        <v>1</v>
      </c>
      <c r="L76" s="9" t="n">
        <v>1</v>
      </c>
      <c r="M76" s="14">
        <f>IF(OR(K76="",L76="",L76=0),"",K76/L76)</f>
        <v/>
      </c>
      <c r="N76" s="9" t="inlineStr"/>
      <c r="O76" s="9">
        <f>IF(B76=0,"基准",IF(AND(N76&lt;&gt;"",I76&lt;0.85),"功能型：单看输出偏低属正常",IF(I76&gt;=0.85,"划算",IF(I76&gt;=0.65,"略亏：空位紧张时仍值得","偏亏：建议降价或加强"))))</f>
        <v/>
      </c>
    </row>
    <row r="77">
      <c r="A77" s="9" t="inlineStr">
        <is>
          <t>tesla</t>
        </is>
      </c>
      <c r="B77" s="9" t="n">
        <v>2</v>
      </c>
      <c r="C77" s="9" t="n">
        <v>5</v>
      </c>
      <c r="D77" s="9" t="inlineStr">
        <is>
          <t>地动山摇</t>
        </is>
      </c>
      <c r="E77" s="9" t="n">
        <v>1500</v>
      </c>
      <c r="F77" s="9" t="n">
        <v>3070</v>
      </c>
      <c r="G77" s="9" t="n">
        <v>96.84</v>
      </c>
      <c r="H77" s="14">
        <f>G77/F77*100</f>
        <v/>
      </c>
      <c r="I77" s="14">
        <f>IFERROR((G77/F77)/(SUMIFS($G$3:$G$98,$A$3:$A$98,A77,$B$3:$B$98,0)/SUMIFS($F$3:$F$98,$A$3:$A$98,A77,$B$3:$B$98,0)),"")</f>
        <v/>
      </c>
      <c r="J77" s="14">
        <f>IF(B77=0,1,IF(C77&lt;=1,G77-SUMIFS($G$3:$G$98,$A$3:$A$98,A77,$B$3:$B$98,0),G77-G76)/E77/(SUMIFS($G$3:$G$98,$A$3:$A$98,A77,$B$3:$B$98,0)/SUMIFS($F$3:$F$98,$A$3:$A$98,A77,$B$3:$B$98,0)))</f>
        <v/>
      </c>
      <c r="K77" s="9" t="n"/>
      <c r="L77" s="9" t="n"/>
      <c r="M77" s="14">
        <f>IF(OR(K77="",L77="",L77=0),"",K77/L77)</f>
        <v/>
      </c>
      <c r="N77" s="9" t="inlineStr"/>
      <c r="O77" s="9">
        <f>IF(B77=0,"基准",IF(AND(N77&lt;&gt;"",I77&lt;0.85),"功能型：单看输出偏低属正常",IF(I77&gt;=0.85,"划算",IF(I77&gt;=0.65,"略亏：空位紧张时仍值得","偏亏：建议降价或加强"))))</f>
        <v/>
      </c>
    </row>
    <row r="78">
      <c r="A78" s="9" t="inlineStr">
        <is>
          <t>tesla</t>
        </is>
      </c>
      <c r="B78" s="9" t="n">
        <v>3</v>
      </c>
      <c r="C78" s="9" t="n">
        <v>1</v>
      </c>
      <c r="D78" s="9" t="inlineStr">
        <is>
          <t>扩音</t>
        </is>
      </c>
      <c r="E78" s="9" t="n">
        <v>70</v>
      </c>
      <c r="F78" s="9" t="n">
        <v>220</v>
      </c>
      <c r="G78" s="9" t="n">
        <v>6.4</v>
      </c>
      <c r="H78" s="14">
        <f>G78/F78*100</f>
        <v/>
      </c>
      <c r="I78" s="14">
        <f>IFERROR((G78/F78)/(SUMIFS($G$3:$G$98,$A$3:$A$98,A78,$B$3:$B$98,0)/SUMIFS($F$3:$F$98,$A$3:$A$98,A78,$B$3:$B$98,0)),"")</f>
        <v/>
      </c>
      <c r="J78" s="14">
        <f>IF(B78=0,1,IF(C78&lt;=1,G78-SUMIFS($G$3:$G$98,$A$3:$A$98,A78,$B$3:$B$98,0),G78-G77)/E78/(SUMIFS($G$3:$G$98,$A$3:$A$98,A78,$B$3:$B$98,0)/SUMIFS($F$3:$F$98,$A$3:$A$98,A78,$B$3:$B$98,0)))</f>
        <v/>
      </c>
      <c r="K78" s="9" t="n">
        <v>0.238</v>
      </c>
      <c r="L78" s="9" t="n">
        <v>0.313</v>
      </c>
      <c r="M78" s="14">
        <f>IF(OR(K78="",L78="",L78=0),"",K78/L78)</f>
        <v/>
      </c>
      <c r="N78" s="9" t="inlineStr"/>
      <c r="O78" s="9">
        <f>IF(B78=0,"基准",IF(AND(N78&lt;&gt;"",I78&lt;0.85),"功能型：单看输出偏低属正常",IF(I78&gt;=0.85,"划算",IF(I78&gt;=0.65,"略亏：空位紧张时仍值得","偏亏：建议降价或加强"))))</f>
        <v/>
      </c>
    </row>
    <row r="79">
      <c r="A79" s="9" t="inlineStr">
        <is>
          <t>tesla</t>
        </is>
      </c>
      <c r="B79" s="9" t="n">
        <v>3</v>
      </c>
      <c r="C79" s="9" t="n">
        <v>2</v>
      </c>
      <c r="D79" s="9" t="inlineStr">
        <is>
          <t>跟着跳</t>
        </is>
      </c>
      <c r="E79" s="9" t="n">
        <v>130</v>
      </c>
      <c r="F79" s="9" t="n">
        <v>350</v>
      </c>
      <c r="G79" s="9" t="n">
        <v>6.4</v>
      </c>
      <c r="H79" s="14">
        <f>G79/F79*100</f>
        <v/>
      </c>
      <c r="I79" s="14">
        <f>IFERROR((G79/F79)/(SUMIFS($G$3:$G$98,$A$3:$A$98,A79,$B$3:$B$98,0)/SUMIFS($F$3:$F$98,$A$3:$A$98,A79,$B$3:$B$98,0)),"")</f>
        <v/>
      </c>
      <c r="J79" s="14">
        <f>IF(B79=0,1,IF(C79&lt;=1,G79-SUMIFS($G$3:$G$98,$A$3:$A$98,A79,$B$3:$B$98,0),G79-G78)/E79/(SUMIFS($G$3:$G$98,$A$3:$A$98,A79,$B$3:$B$98,0)/SUMIFS($F$3:$F$98,$A$3:$A$98,A79,$B$3:$B$98,0)))</f>
        <v/>
      </c>
      <c r="K79" s="9" t="n">
        <v>0.248</v>
      </c>
      <c r="L79" s="9" t="n">
        <v>0.435</v>
      </c>
      <c r="M79" s="14">
        <f>IF(OR(K79="",L79="",L79=0),"",K79/L79)</f>
        <v/>
      </c>
      <c r="N79" s="9" t="inlineStr">
        <is>
          <t>眩晕</t>
        </is>
      </c>
      <c r="O79" s="9">
        <f>IF(B79=0,"基准",IF(AND(N79&lt;&gt;"",I79&lt;0.85),"功能型：单看输出偏低属正常",IF(I79&gt;=0.85,"划算",IF(I79&gt;=0.65,"略亏：空位紧张时仍值得","偏亏：建议降价或加强"))))</f>
        <v/>
      </c>
    </row>
    <row r="80">
      <c r="A80" s="9" t="inlineStr">
        <is>
          <t>tesla</t>
        </is>
      </c>
      <c r="B80" s="9" t="n">
        <v>3</v>
      </c>
      <c r="C80" s="9" t="n">
        <v>3</v>
      </c>
      <c r="D80" s="9" t="inlineStr">
        <is>
          <t>震碎能量盾</t>
        </is>
      </c>
      <c r="E80" s="9" t="n">
        <v>330</v>
      </c>
      <c r="F80" s="9" t="n">
        <v>680</v>
      </c>
      <c r="G80" s="9" t="n">
        <v>6.4</v>
      </c>
      <c r="H80" s="14">
        <f>G80/F80*100</f>
        <v/>
      </c>
      <c r="I80" s="14">
        <f>IFERROR((G80/F80)/(SUMIFS($G$3:$G$98,$A$3:$A$98,A80,$B$3:$B$98,0)/SUMIFS($F$3:$F$98,$A$3:$A$98,A80,$B$3:$B$98,0)),"")</f>
        <v/>
      </c>
      <c r="J80" s="14">
        <f>IF(B80=0,1,IF(C80&lt;=1,G80-SUMIFS($G$3:$G$98,$A$3:$A$98,A80,$B$3:$B$98,0),G80-G79)/E80/(SUMIFS($G$3:$G$98,$A$3:$A$98,A80,$B$3:$B$98,0)/SUMIFS($F$3:$F$98,$A$3:$A$98,A80,$B$3:$B$98,0)))</f>
        <v/>
      </c>
      <c r="K80" s="9" t="n">
        <v>0.268</v>
      </c>
      <c r="L80" s="9" t="n">
        <v>0.742</v>
      </c>
      <c r="M80" s="14">
        <f>IF(OR(K80="",L80="",L80=0),"",K80/L80)</f>
        <v/>
      </c>
      <c r="N80" s="9" t="inlineStr">
        <is>
          <t>破盾</t>
        </is>
      </c>
      <c r="O80" s="9">
        <f>IF(B80=0,"基准",IF(AND(N80&lt;&gt;"",I80&lt;0.85),"功能型：单看输出偏低属正常",IF(I80&gt;=0.85,"划算",IF(I80&gt;=0.65,"略亏：空位紧张时仍值得","偏亏：建议降价或加强"))))</f>
        <v/>
      </c>
    </row>
    <row r="81">
      <c r="A81" s="9" t="inlineStr">
        <is>
          <t>tesla</t>
        </is>
      </c>
      <c r="B81" s="9" t="n">
        <v>3</v>
      </c>
      <c r="C81" s="9" t="n">
        <v>4</v>
      </c>
      <c r="D81" s="9" t="inlineStr">
        <is>
          <t>魔性旋律</t>
        </is>
      </c>
      <c r="E81" s="9" t="n">
        <v>700</v>
      </c>
      <c r="F81" s="9" t="n">
        <v>1380</v>
      </c>
      <c r="G81" s="9" t="n">
        <v>26.34</v>
      </c>
      <c r="H81" s="14">
        <f>G81/F81*100</f>
        <v/>
      </c>
      <c r="I81" s="14">
        <f>IFERROR((G81/F81)/(SUMIFS($G$3:$G$98,$A$3:$A$98,A81,$B$3:$B$98,0)/SUMIFS($F$3:$F$98,$A$3:$A$98,A81,$B$3:$B$98,0)),"")</f>
        <v/>
      </c>
      <c r="J81" s="14">
        <f>IF(B81=0,1,IF(C81&lt;=1,G81-SUMIFS($G$3:$G$98,$A$3:$A$98,A81,$B$3:$B$98,0),G81-G80)/E81/(SUMIFS($G$3:$G$98,$A$3:$A$98,A81,$B$3:$B$98,0)/SUMIFS($F$3:$F$98,$A$3:$A$98,A81,$B$3:$B$98,0)))</f>
        <v/>
      </c>
      <c r="K81" s="9" t="n">
        <v>1</v>
      </c>
      <c r="L81" s="9" t="n">
        <v>1</v>
      </c>
      <c r="M81" s="14">
        <f>IF(OR(K81="",L81="",L81=0),"",K81/L81)</f>
        <v/>
      </c>
      <c r="N81" s="9" t="inlineStr"/>
      <c r="O81" s="9">
        <f>IF(B81=0,"基准",IF(AND(N81&lt;&gt;"",I81&lt;0.85),"功能型：单看输出偏低属正常",IF(I81&gt;=0.85,"划算",IF(I81&gt;=0.65,"略亏：空位紧张时仍值得","偏亏：建议降价或加强"))))</f>
        <v/>
      </c>
    </row>
    <row r="82">
      <c r="A82" s="9" t="inlineStr">
        <is>
          <t>tesla</t>
        </is>
      </c>
      <c r="B82" s="9" t="n">
        <v>3</v>
      </c>
      <c r="C82" s="9" t="n">
        <v>5</v>
      </c>
      <c r="D82" s="9" t="inlineStr">
        <is>
          <t>广场舞女王</t>
        </is>
      </c>
      <c r="E82" s="9" t="n">
        <v>1600</v>
      </c>
      <c r="F82" s="9" t="n">
        <v>2980</v>
      </c>
      <c r="G82" s="9" t="n">
        <v>34.7</v>
      </c>
      <c r="H82" s="14">
        <f>G82/F82*100</f>
        <v/>
      </c>
      <c r="I82" s="14">
        <f>IFERROR((G82/F82)/(SUMIFS($G$3:$G$98,$A$3:$A$98,A82,$B$3:$B$98,0)/SUMIFS($F$3:$F$98,$A$3:$A$98,A82,$B$3:$B$98,0)),"")</f>
        <v/>
      </c>
      <c r="J82" s="14">
        <f>IF(B82=0,1,IF(C82&lt;=1,G82-SUMIFS($G$3:$G$98,$A$3:$A$98,A82,$B$3:$B$98,0),G82-G81)/E82/(SUMIFS($G$3:$G$98,$A$3:$A$98,A82,$B$3:$B$98,0)/SUMIFS($F$3:$F$98,$A$3:$A$98,A82,$B$3:$B$98,0)))</f>
        <v/>
      </c>
      <c r="K82" s="9" t="n"/>
      <c r="L82" s="9" t="n"/>
      <c r="M82" s="14">
        <f>IF(OR(K82="",L82="",L82=0),"",K82/L82)</f>
        <v/>
      </c>
      <c r="N82" s="9" t="inlineStr"/>
      <c r="O82" s="9">
        <f>IF(B82=0,"基准",IF(AND(N82&lt;&gt;"",I82&lt;0.85),"功能型：单看输出偏低属正常",IF(I82&gt;=0.85,"划算",IF(I82&gt;=0.65,"略亏：空位紧张时仍值得","偏亏：建议降价或加强"))))</f>
        <v/>
      </c>
    </row>
    <row r="83">
      <c r="A83" s="9" t="inlineStr">
        <is>
          <t>gem</t>
        </is>
      </c>
      <c r="B83" s="9" t="n">
        <v>0</v>
      </c>
      <c r="C83" s="9" t="n">
        <v>0</v>
      </c>
      <c r="D83" s="9" t="inlineStr">
        <is>
          <t>基础</t>
        </is>
      </c>
      <c r="E83" s="9" t="n">
        <v>140</v>
      </c>
      <c r="F83" s="9" t="n">
        <v>140</v>
      </c>
      <c r="G83" s="9" t="n">
        <v>2.4</v>
      </c>
      <c r="H83" s="14">
        <f>G83/F83*100</f>
        <v/>
      </c>
      <c r="I83" s="14">
        <f>IFERROR((G83/F83)/(SUMIFS($G$3:$G$98,$A$3:$A$98,A83,$B$3:$B$98,0)/SUMIFS($F$3:$F$98,$A$3:$A$98,A83,$B$3:$B$98,0)),"")</f>
        <v/>
      </c>
      <c r="J83" s="14">
        <f>IF(B83=0,1,IF(C83&lt;=1,G83-SUMIFS($G$3:$G$98,$A$3:$A$98,A83,$B$3:$B$98,0),G83-G82)/E83/(SUMIFS($G$3:$G$98,$A$3:$A$98,A83,$B$3:$B$98,0)/SUMIFS($F$3:$F$98,$A$3:$A$98,A83,$B$3:$B$98,0)))</f>
        <v/>
      </c>
      <c r="K83" s="9" t="n"/>
      <c r="L83" s="9" t="n"/>
      <c r="M83" s="14">
        <f>IF(OR(K83="",L83="",L83=0),"",K83/L83)</f>
        <v/>
      </c>
      <c r="N83" s="9" t="inlineStr"/>
      <c r="O83" s="9">
        <f>IF(B83=0,"基准",IF(AND(N83&lt;&gt;"",I83&lt;0.85),"功能型：单看输出偏低属正常",IF(I83&gt;=0.85,"划算",IF(I83&gt;=0.65,"略亏：空位紧张时仍值得","偏亏：建议降价或加强"))))</f>
        <v/>
      </c>
    </row>
    <row r="84">
      <c r="A84" s="9" t="inlineStr">
        <is>
          <t>gem</t>
        </is>
      </c>
      <c r="B84" s="9" t="n">
        <v>1</v>
      </c>
      <c r="C84" s="9" t="n">
        <v>1</v>
      </c>
      <c r="D84" s="9" t="inlineStr">
        <is>
          <t>打磨红宝石</t>
        </is>
      </c>
      <c r="E84" s="9" t="n">
        <v>80</v>
      </c>
      <c r="F84" s="9" t="n">
        <v>220</v>
      </c>
      <c r="G84" s="9" t="n">
        <v>4</v>
      </c>
      <c r="H84" s="14">
        <f>G84/F84*100</f>
        <v/>
      </c>
      <c r="I84" s="14">
        <f>IFERROR((G84/F84)/(SUMIFS($G$3:$G$98,$A$3:$A$98,A84,$B$3:$B$98,0)/SUMIFS($F$3:$F$98,$A$3:$A$98,A84,$B$3:$B$98,0)),"")</f>
        <v/>
      </c>
      <c r="J84" s="14">
        <f>IF(B84=0,1,IF(C84&lt;=1,G84-SUMIFS($G$3:$G$98,$A$3:$A$98,A84,$B$3:$B$98,0),G84-G83)/E84/(SUMIFS($G$3:$G$98,$A$3:$A$98,A84,$B$3:$B$98,0)/SUMIFS($F$3:$F$98,$A$3:$A$98,A84,$B$3:$B$98,0)))</f>
        <v/>
      </c>
      <c r="K84" s="9" t="n">
        <v>0.357</v>
      </c>
      <c r="L84" s="9" t="n">
        <v>0.3</v>
      </c>
      <c r="M84" s="14">
        <f>IF(OR(K84="",L84="",L84=0),"",K84/L84)</f>
        <v/>
      </c>
      <c r="N84" s="9" t="inlineStr"/>
      <c r="O84" s="9">
        <f>IF(B84=0,"基准",IF(AND(N84&lt;&gt;"",I84&lt;0.85),"功能型：单看输出偏低属正常",IF(I84&gt;=0.85,"划算",IF(I84&gt;=0.65,"略亏：空位紧张时仍值得","偏亏：建议降价或加强"))))</f>
        <v/>
      </c>
    </row>
    <row r="85">
      <c r="A85" s="9" t="inlineStr">
        <is>
          <t>gem</t>
        </is>
      </c>
      <c r="B85" s="9" t="n">
        <v>1</v>
      </c>
      <c r="C85" s="9" t="n">
        <v>2</v>
      </c>
      <c r="D85" s="9" t="inlineStr">
        <is>
          <t>鸽血红</t>
        </is>
      </c>
      <c r="E85" s="9" t="n">
        <v>90</v>
      </c>
      <c r="F85" s="9" t="n">
        <v>310</v>
      </c>
      <c r="G85" s="9" t="n">
        <v>4.71</v>
      </c>
      <c r="H85" s="14">
        <f>G85/F85*100</f>
        <v/>
      </c>
      <c r="I85" s="14">
        <f>IFERROR((G85/F85)/(SUMIFS($G$3:$G$98,$A$3:$A$98,A85,$B$3:$B$98,0)/SUMIFS($F$3:$F$98,$A$3:$A$98,A85,$B$3:$B$98,0)),"")</f>
        <v/>
      </c>
      <c r="J85" s="14">
        <f>IF(B85=0,1,IF(C85&lt;=1,G85-SUMIFS($G$3:$G$98,$A$3:$A$98,A85,$B$3:$B$98,0),G85-G84)/E85/(SUMIFS($G$3:$G$98,$A$3:$A$98,A85,$B$3:$B$98,0)/SUMIFS($F$3:$F$98,$A$3:$A$98,A85,$B$3:$B$98,0)))</f>
        <v/>
      </c>
      <c r="K85" s="9" t="n">
        <v>0.373</v>
      </c>
      <c r="L85" s="9" t="n">
        <v>0.404</v>
      </c>
      <c r="M85" s="14">
        <f>IF(OR(K85="",L85="",L85=0),"",K85/L85)</f>
        <v/>
      </c>
      <c r="N85" s="9" t="inlineStr"/>
      <c r="O85" s="9">
        <f>IF(B85=0,"基准",IF(AND(N85&lt;&gt;"",I85&lt;0.85),"功能型：单看输出偏低属正常",IF(I85&gt;=0.85,"划算",IF(I85&gt;=0.65,"略亏：空位紧张时仍值得","偏亏：建议降价或加强"))))</f>
        <v/>
      </c>
    </row>
    <row r="86">
      <c r="A86" s="9" t="inlineStr">
        <is>
          <t>gem</t>
        </is>
      </c>
      <c r="B86" s="9" t="n">
        <v>1</v>
      </c>
      <c r="C86" s="9" t="n">
        <v>3</v>
      </c>
      <c r="D86" s="9" t="inlineStr">
        <is>
          <t>红宝石切面</t>
        </is>
      </c>
      <c r="E86" s="9" t="n">
        <v>200</v>
      </c>
      <c r="F86" s="9" t="n">
        <v>510</v>
      </c>
      <c r="G86" s="9" t="n">
        <v>5.86</v>
      </c>
      <c r="H86" s="14">
        <f>G86/F86*100</f>
        <v/>
      </c>
      <c r="I86" s="14">
        <f>IFERROR((G86/F86)/(SUMIFS($G$3:$G$98,$A$3:$A$98,A86,$B$3:$B$98,0)/SUMIFS($F$3:$F$98,$A$3:$A$98,A86,$B$3:$B$98,0)),"")</f>
        <v/>
      </c>
      <c r="J86" s="14">
        <f>IF(B86=0,1,IF(C86&lt;=1,G86-SUMIFS($G$3:$G$98,$A$3:$A$98,A86,$B$3:$B$98,0),G86-G85)/E86/(SUMIFS($G$3:$G$98,$A$3:$A$98,A86,$B$3:$B$98,0)/SUMIFS($F$3:$F$98,$A$3:$A$98,A86,$B$3:$B$98,0)))</f>
        <v/>
      </c>
      <c r="K86" s="9" t="n">
        <v>0.506</v>
      </c>
      <c r="L86" s="9" t="n">
        <v>0.6870000000000001</v>
      </c>
      <c r="M86" s="14">
        <f>IF(OR(K86="",L86="",L86=0),"",K86/L86)</f>
        <v/>
      </c>
      <c r="N86" s="9" t="inlineStr">
        <is>
          <t>破甲</t>
        </is>
      </c>
      <c r="O86" s="9">
        <f>IF(B86=0,"基准",IF(AND(N86&lt;&gt;"",I86&lt;0.85),"功能型：单看输出偏低属正常",IF(I86&gt;=0.85,"划算",IF(I86&gt;=0.65,"略亏：空位紧张时仍值得","偏亏：建议降价或加强"))))</f>
        <v/>
      </c>
    </row>
    <row r="87">
      <c r="A87" s="9" t="inlineStr">
        <is>
          <t>gem</t>
        </is>
      </c>
      <c r="B87" s="9" t="n">
        <v>1</v>
      </c>
      <c r="C87" s="9" t="n">
        <v>4</v>
      </c>
      <c r="D87" s="9" t="inlineStr">
        <is>
          <t>炽红核心</t>
        </is>
      </c>
      <c r="E87" s="9" t="n">
        <v>450</v>
      </c>
      <c r="F87" s="9" t="n">
        <v>960</v>
      </c>
      <c r="G87" s="9" t="n">
        <v>11.71</v>
      </c>
      <c r="H87" s="14">
        <f>G87/F87*100</f>
        <v/>
      </c>
      <c r="I87" s="14">
        <f>IFERROR((G87/F87)/(SUMIFS($G$3:$G$98,$A$3:$A$98,A87,$B$3:$B$98,0)/SUMIFS($F$3:$F$98,$A$3:$A$98,A87,$B$3:$B$98,0)),"")</f>
        <v/>
      </c>
      <c r="J87" s="14">
        <f>IF(B87=0,1,IF(C87&lt;=1,G87-SUMIFS($G$3:$G$98,$A$3:$A$98,A87,$B$3:$B$98,0),G87-G86)/E87/(SUMIFS($G$3:$G$98,$A$3:$A$98,A87,$B$3:$B$98,0)/SUMIFS($F$3:$F$98,$A$3:$A$98,A87,$B$3:$B$98,0)))</f>
        <v/>
      </c>
      <c r="K87" s="9" t="n">
        <v>0.698</v>
      </c>
      <c r="L87" s="9" t="n">
        <v>1</v>
      </c>
      <c r="M87" s="14">
        <f>IF(OR(K87="",L87="",L87=0),"",K87/L87)</f>
        <v/>
      </c>
      <c r="N87" s="9" t="inlineStr">
        <is>
          <t>对 Boss</t>
        </is>
      </c>
      <c r="O87" s="9">
        <f>IF(B87=0,"基准",IF(AND(N87&lt;&gt;"",I87&lt;0.85),"功能型：单看输出偏低属正常",IF(I87&gt;=0.85,"划算",IF(I87&gt;=0.65,"略亏：空位紧张时仍值得","偏亏：建议降价或加强"))))</f>
        <v/>
      </c>
    </row>
    <row r="88">
      <c r="A88" s="9" t="inlineStr">
        <is>
          <t>gem</t>
        </is>
      </c>
      <c r="B88" s="9" t="n">
        <v>1</v>
      </c>
      <c r="C88" s="9" t="n">
        <v>5</v>
      </c>
      <c r="D88" s="9" t="inlineStr">
        <is>
          <t>红宝石之心</t>
        </is>
      </c>
      <c r="E88" s="9" t="n">
        <v>1700</v>
      </c>
      <c r="F88" s="9" t="n">
        <v>2660</v>
      </c>
      <c r="G88" s="9" t="n">
        <v>49.54</v>
      </c>
      <c r="H88" s="14">
        <f>G88/F88*100</f>
        <v/>
      </c>
      <c r="I88" s="14">
        <f>IFERROR((G88/F88)/(SUMIFS($G$3:$G$98,$A$3:$A$98,A88,$B$3:$B$98,0)/SUMIFS($F$3:$F$98,$A$3:$A$98,A88,$B$3:$B$98,0)),"")</f>
        <v/>
      </c>
      <c r="J88" s="14">
        <f>IF(B88=0,1,IF(C88&lt;=1,G88-SUMIFS($G$3:$G$98,$A$3:$A$98,A88,$B$3:$B$98,0),G88-G87)/E88/(SUMIFS($G$3:$G$98,$A$3:$A$98,A88,$B$3:$B$98,0)/SUMIFS($F$3:$F$98,$A$3:$A$98,A88,$B$3:$B$98,0)))</f>
        <v/>
      </c>
      <c r="K88" s="9" t="n"/>
      <c r="L88" s="9" t="n"/>
      <c r="M88" s="14">
        <f>IF(OR(K88="",L88="",L88=0),"",K88/L88)</f>
        <v/>
      </c>
      <c r="N88" s="9" t="inlineStr"/>
      <c r="O88" s="9">
        <f>IF(B88=0,"基准",IF(AND(N88&lt;&gt;"",I88&lt;0.85),"功能型：单看输出偏低属正常",IF(I88&gt;=0.85,"划算",IF(I88&gt;=0.65,"略亏：空位紧张时仍值得","偏亏：建议降价或加强"))))</f>
        <v/>
      </c>
    </row>
    <row r="89">
      <c r="A89" s="9" t="inlineStr">
        <is>
          <t>gem</t>
        </is>
      </c>
      <c r="B89" s="9" t="n">
        <v>2</v>
      </c>
      <c r="C89" s="9" t="n">
        <v>1</v>
      </c>
      <c r="D89" s="9" t="inlineStr">
        <is>
          <t>黄晶碎片</t>
        </is>
      </c>
      <c r="E89" s="9" t="n">
        <v>50</v>
      </c>
      <c r="F89" s="9" t="n">
        <v>190</v>
      </c>
      <c r="G89" s="9" t="n">
        <v>3</v>
      </c>
      <c r="H89" s="14">
        <f>G89/F89*100</f>
        <v/>
      </c>
      <c r="I89" s="14">
        <f>IFERROR((G89/F89)/(SUMIFS($G$3:$G$98,$A$3:$A$98,A89,$B$3:$B$98,0)/SUMIFS($F$3:$F$98,$A$3:$A$98,A89,$B$3:$B$98,0)),"")</f>
        <v/>
      </c>
      <c r="J89" s="14">
        <f>IF(B89=0,1,IF(C89&lt;=1,G89-SUMIFS($G$3:$G$98,$A$3:$A$98,A89,$B$3:$B$98,0),G89-G88)/E89/(SUMIFS($G$3:$G$98,$A$3:$A$98,A89,$B$3:$B$98,0)/SUMIFS($F$3:$F$98,$A$3:$A$98,A89,$B$3:$B$98,0)))</f>
        <v/>
      </c>
      <c r="K89" s="9" t="n">
        <v>0.231</v>
      </c>
      <c r="L89" s="9" t="n">
        <v>0.265</v>
      </c>
      <c r="M89" s="14">
        <f>IF(OR(K89="",L89="",L89=0),"",K89/L89)</f>
        <v/>
      </c>
      <c r="N89" s="9" t="inlineStr"/>
      <c r="O89" s="9">
        <f>IF(B89=0,"基准",IF(AND(N89&lt;&gt;"",I89&lt;0.85),"功能型：单看输出偏低属正常",IF(I89&gt;=0.85,"划算",IF(I89&gt;=0.65,"略亏：空位紧张时仍值得","偏亏：建议降价或加强"))))</f>
        <v/>
      </c>
    </row>
    <row r="90">
      <c r="A90" s="9" t="inlineStr">
        <is>
          <t>gem</t>
        </is>
      </c>
      <c r="B90" s="9" t="n">
        <v>2</v>
      </c>
      <c r="C90" s="9" t="n">
        <v>2</v>
      </c>
      <c r="D90" s="9" t="inlineStr">
        <is>
          <t>双生黄晶</t>
        </is>
      </c>
      <c r="E90" s="9" t="n">
        <v>130</v>
      </c>
      <c r="F90" s="9" t="n">
        <v>320</v>
      </c>
      <c r="G90" s="9" t="n">
        <v>6</v>
      </c>
      <c r="H90" s="14">
        <f>G90/F90*100</f>
        <v/>
      </c>
      <c r="I90" s="14">
        <f>IFERROR((G90/F90)/(SUMIFS($G$3:$G$98,$A$3:$A$98,A90,$B$3:$B$98,0)/SUMIFS($F$3:$F$98,$A$3:$A$98,A90,$B$3:$B$98,0)),"")</f>
        <v/>
      </c>
      <c r="J90" s="14">
        <f>IF(B90=0,1,IF(C90&lt;=1,G90-SUMIFS($G$3:$G$98,$A$3:$A$98,A90,$B$3:$B$98,0),G90-G89)/E90/(SUMIFS($G$3:$G$98,$A$3:$A$98,A90,$B$3:$B$98,0)/SUMIFS($F$3:$F$98,$A$3:$A$98,A90,$B$3:$B$98,0)))</f>
        <v/>
      </c>
      <c r="K90" s="9" t="n">
        <v>0.454</v>
      </c>
      <c r="L90" s="9" t="n">
        <v>0.415</v>
      </c>
      <c r="M90" s="14">
        <f>IF(OR(K90="",L90="",L90=0),"",K90/L90)</f>
        <v/>
      </c>
      <c r="N90" s="9" t="inlineStr"/>
      <c r="O90" s="9">
        <f>IF(B90=0,"基准",IF(AND(N90&lt;&gt;"",I90&lt;0.85),"功能型：单看输出偏低属正常",IF(I90&gt;=0.85,"划算",IF(I90&gt;=0.65,"略亏：空位紧张时仍值得","偏亏：建议降价或加强"))))</f>
        <v/>
      </c>
    </row>
    <row r="91">
      <c r="A91" s="9" t="inlineStr">
        <is>
          <t>gem</t>
        </is>
      </c>
      <c r="B91" s="9" t="n">
        <v>2</v>
      </c>
      <c r="C91" s="9" t="n">
        <v>3</v>
      </c>
      <c r="D91" s="9" t="inlineStr">
        <is>
          <t>黄晶矿脉</t>
        </is>
      </c>
      <c r="E91" s="9" t="n">
        <v>300</v>
      </c>
      <c r="F91" s="9" t="n">
        <v>620</v>
      </c>
      <c r="G91" s="9" t="n">
        <v>6</v>
      </c>
      <c r="H91" s="14">
        <f>G91/F91*100</f>
        <v/>
      </c>
      <c r="I91" s="14">
        <f>IFERROR((G91/F91)/(SUMIFS($G$3:$G$98,$A$3:$A$98,A91,$B$3:$B$98,0)/SUMIFS($F$3:$F$98,$A$3:$A$98,A91,$B$3:$B$98,0)),"")</f>
        <v/>
      </c>
      <c r="J91" s="14">
        <f>IF(B91=0,1,IF(C91&lt;=1,G91-SUMIFS($G$3:$G$98,$A$3:$A$98,A91,$B$3:$B$98,0),G91-G90)/E91/(SUMIFS($G$3:$G$98,$A$3:$A$98,A91,$B$3:$B$98,0)/SUMIFS($F$3:$F$98,$A$3:$A$98,A91,$B$3:$B$98,0)))</f>
        <v/>
      </c>
      <c r="K91" s="9" t="n">
        <v>0.47</v>
      </c>
      <c r="L91" s="9" t="n">
        <v>0.822</v>
      </c>
      <c r="M91" s="14">
        <f>IF(OR(K91="",L91="",L91=0),"",K91/L91)</f>
        <v/>
      </c>
      <c r="N91" s="9" t="inlineStr">
        <is>
          <t>经济</t>
        </is>
      </c>
      <c r="O91" s="9">
        <f>IF(B91=0,"基准",IF(AND(N91&lt;&gt;"",I91&lt;0.85),"功能型：单看输出偏低属正常",IF(I91&gt;=0.85,"划算",IF(I91&gt;=0.65,"略亏：空位紧张时仍值得","偏亏：建议降价或加强"))))</f>
        <v/>
      </c>
    </row>
    <row r="92">
      <c r="A92" s="9" t="inlineStr">
        <is>
          <t>gem</t>
        </is>
      </c>
      <c r="B92" s="9" t="n">
        <v>2</v>
      </c>
      <c r="C92" s="9" t="n">
        <v>4</v>
      </c>
      <c r="D92" s="9" t="inlineStr">
        <is>
          <t>黄晶棱镜</t>
        </is>
      </c>
      <c r="E92" s="9" t="n">
        <v>560</v>
      </c>
      <c r="F92" s="9" t="n">
        <v>1180</v>
      </c>
      <c r="G92" s="9" t="n">
        <v>16</v>
      </c>
      <c r="H92" s="14">
        <f>G92/F92*100</f>
        <v/>
      </c>
      <c r="I92" s="14">
        <f>IFERROR((G92/F92)/(SUMIFS($G$3:$G$98,$A$3:$A$98,A92,$B$3:$B$98,0)/SUMIFS($F$3:$F$98,$A$3:$A$98,A92,$B$3:$B$98,0)),"")</f>
        <v/>
      </c>
      <c r="J92" s="14">
        <f>IF(B92=0,1,IF(C92&lt;=1,G92-SUMIFS($G$3:$G$98,$A$3:$A$98,A92,$B$3:$B$98,0),G92-G91)/E92/(SUMIFS($G$3:$G$98,$A$3:$A$98,A92,$B$3:$B$98,0)/SUMIFS($F$3:$F$98,$A$3:$A$98,A92,$B$3:$B$98,0)))</f>
        <v/>
      </c>
      <c r="K92" s="9" t="n">
        <v>0.97</v>
      </c>
      <c r="L92" s="9" t="n">
        <v>1</v>
      </c>
      <c r="M92" s="14">
        <f>IF(OR(K92="",L92="",L92=0),"",K92/L92)</f>
        <v/>
      </c>
      <c r="N92" s="9" t="inlineStr"/>
      <c r="O92" s="9">
        <f>IF(B92=0,"基准",IF(AND(N92&lt;&gt;"",I92&lt;0.85),"功能型：单看输出偏低属正常",IF(I92&gt;=0.85,"划算",IF(I92&gt;=0.65,"略亏：空位紧张时仍值得","偏亏：建议降价或加强"))))</f>
        <v/>
      </c>
    </row>
    <row r="93">
      <c r="A93" s="9" t="inlineStr">
        <is>
          <t>gem</t>
        </is>
      </c>
      <c r="B93" s="9" t="n">
        <v>2</v>
      </c>
      <c r="C93" s="9" t="n">
        <v>5</v>
      </c>
      <c r="D93" s="9" t="inlineStr">
        <is>
          <t>GST 金矿</t>
        </is>
      </c>
      <c r="E93" s="9" t="n">
        <v>1600</v>
      </c>
      <c r="F93" s="9" t="n">
        <v>2780</v>
      </c>
      <c r="G93" s="9" t="n">
        <v>32</v>
      </c>
      <c r="H93" s="14">
        <f>G93/F93*100</f>
        <v/>
      </c>
      <c r="I93" s="14">
        <f>IFERROR((G93/F93)/(SUMIFS($G$3:$G$98,$A$3:$A$98,A93,$B$3:$B$98,0)/SUMIFS($F$3:$F$98,$A$3:$A$98,A93,$B$3:$B$98,0)),"")</f>
        <v/>
      </c>
      <c r="J93" s="14">
        <f>IF(B93=0,1,IF(C93&lt;=1,G93-SUMIFS($G$3:$G$98,$A$3:$A$98,A93,$B$3:$B$98,0),G93-G92)/E93/(SUMIFS($G$3:$G$98,$A$3:$A$98,A93,$B$3:$B$98,0)/SUMIFS($F$3:$F$98,$A$3:$A$98,A93,$B$3:$B$98,0)))</f>
        <v/>
      </c>
      <c r="K93" s="9" t="n"/>
      <c r="L93" s="9" t="n"/>
      <c r="M93" s="14">
        <f>IF(OR(K93="",L93="",L93=0),"",K93/L93)</f>
        <v/>
      </c>
      <c r="N93" s="9" t="inlineStr">
        <is>
          <t>经济</t>
        </is>
      </c>
      <c r="O93" s="9">
        <f>IF(B93=0,"基准",IF(AND(N93&lt;&gt;"",I93&lt;0.85),"功能型：单看输出偏低属正常",IF(I93&gt;=0.85,"划算",IF(I93&gt;=0.65,"略亏：空位紧张时仍值得","偏亏：建议降价或加强"))))</f>
        <v/>
      </c>
    </row>
    <row r="94">
      <c r="A94" s="9" t="inlineStr">
        <is>
          <t>gem</t>
        </is>
      </c>
      <c r="B94" s="9" t="n">
        <v>3</v>
      </c>
      <c r="C94" s="9" t="n">
        <v>1</v>
      </c>
      <c r="D94" s="9" t="inlineStr">
        <is>
          <t>冰蓝切片</t>
        </is>
      </c>
      <c r="E94" s="9" t="n">
        <v>60</v>
      </c>
      <c r="F94" s="9" t="n">
        <v>200</v>
      </c>
      <c r="G94" s="9" t="n">
        <v>2.4</v>
      </c>
      <c r="H94" s="14">
        <f>G94/F94*100</f>
        <v/>
      </c>
      <c r="I94" s="14">
        <f>IFERROR((G94/F94)/(SUMIFS($G$3:$G$98,$A$3:$A$98,A94,$B$3:$B$98,0)/SUMIFS($F$3:$F$98,$A$3:$A$98,A94,$B$3:$B$98,0)),"")</f>
        <v/>
      </c>
      <c r="J94" s="14">
        <f>IF(B94=0,1,IF(C94&lt;=1,G94-SUMIFS($G$3:$G$98,$A$3:$A$98,A94,$B$3:$B$98,0),G94-G93)/E94/(SUMIFS($G$3:$G$98,$A$3:$A$98,A94,$B$3:$B$98,0)/SUMIFS($F$3:$F$98,$A$3:$A$98,A94,$B$3:$B$98,0)))</f>
        <v/>
      </c>
      <c r="K94" s="9" t="n">
        <v>0.216</v>
      </c>
      <c r="L94" s="9" t="n">
        <v>0.276</v>
      </c>
      <c r="M94" s="14">
        <f>IF(OR(K94="",L94="",L94=0),"",K94/L94)</f>
        <v/>
      </c>
      <c r="N94" s="9" t="inlineStr">
        <is>
          <t>减速</t>
        </is>
      </c>
      <c r="O94" s="9">
        <f>IF(B94=0,"基准",IF(AND(N94&lt;&gt;"",I94&lt;0.85),"功能型：单看输出偏低属正常",IF(I94&gt;=0.85,"划算",IF(I94&gt;=0.65,"略亏：空位紧张时仍值得","偏亏：建议降价或加强"))))</f>
        <v/>
      </c>
    </row>
    <row r="95">
      <c r="A95" s="9" t="inlineStr">
        <is>
          <t>gem</t>
        </is>
      </c>
      <c r="B95" s="9" t="n">
        <v>3</v>
      </c>
      <c r="C95" s="9" t="n">
        <v>2</v>
      </c>
      <c r="D95" s="9" t="inlineStr">
        <is>
          <t>深海蓝</t>
        </is>
      </c>
      <c r="E95" s="9" t="n">
        <v>120</v>
      </c>
      <c r="F95" s="9" t="n">
        <v>320</v>
      </c>
      <c r="G95" s="9" t="n">
        <v>2.4</v>
      </c>
      <c r="H95" s="14">
        <f>G95/F95*100</f>
        <v/>
      </c>
      <c r="I95" s="14">
        <f>IFERROR((G95/F95)/(SUMIFS($G$3:$G$98,$A$3:$A$98,A95,$B$3:$B$98,0)/SUMIFS($F$3:$F$98,$A$3:$A$98,A95,$B$3:$B$98,0)),"")</f>
        <v/>
      </c>
      <c r="J95" s="14">
        <f>IF(B95=0,1,IF(C95&lt;=1,G95-SUMIFS($G$3:$G$98,$A$3:$A$98,A95,$B$3:$B$98,0),G95-G94)/E95/(SUMIFS($G$3:$G$98,$A$3:$A$98,A95,$B$3:$B$98,0)/SUMIFS($F$3:$F$98,$A$3:$A$98,A95,$B$3:$B$98,0)))</f>
        <v/>
      </c>
      <c r="K95" s="9" t="n">
        <v>0.247</v>
      </c>
      <c r="L95" s="9" t="n">
        <v>0.415</v>
      </c>
      <c r="M95" s="14">
        <f>IF(OR(K95="",L95="",L95=0),"",K95/L95)</f>
        <v/>
      </c>
      <c r="N95" s="9" t="inlineStr"/>
      <c r="O95" s="9">
        <f>IF(B95=0,"基准",IF(AND(N95&lt;&gt;"",I95&lt;0.85),"功能型：单看输出偏低属正常",IF(I95&gt;=0.85,"划算",IF(I95&gt;=0.65,"略亏：空位紧张时仍值得","偏亏：建议降价或加强"))))</f>
        <v/>
      </c>
    </row>
    <row r="96">
      <c r="A96" s="9" t="inlineStr">
        <is>
          <t>gem</t>
        </is>
      </c>
      <c r="B96" s="9" t="n">
        <v>3</v>
      </c>
      <c r="C96" s="9" t="n">
        <v>3</v>
      </c>
      <c r="D96" s="9" t="inlineStr">
        <is>
          <t>蓝宝石冰封</t>
        </is>
      </c>
      <c r="E96" s="9" t="n">
        <v>300</v>
      </c>
      <c r="F96" s="9" t="n">
        <v>620</v>
      </c>
      <c r="G96" s="9" t="n">
        <v>2.4</v>
      </c>
      <c r="H96" s="14">
        <f>G96/F96*100</f>
        <v/>
      </c>
      <c r="I96" s="14">
        <f>IFERROR((G96/F96)/(SUMIFS($G$3:$G$98,$A$3:$A$98,A96,$B$3:$B$98,0)/SUMIFS($F$3:$F$98,$A$3:$A$98,A96,$B$3:$B$98,0)),"")</f>
        <v/>
      </c>
      <c r="J96" s="14">
        <f>IF(B96=0,1,IF(C96&lt;=1,G96-SUMIFS($G$3:$G$98,$A$3:$A$98,A96,$B$3:$B$98,0),G96-G95)/E96/(SUMIFS($G$3:$G$98,$A$3:$A$98,A96,$B$3:$B$98,0)/SUMIFS($F$3:$F$98,$A$3:$A$98,A96,$B$3:$B$98,0)))</f>
        <v/>
      </c>
      <c r="K96" s="9" t="n">
        <v>0.255</v>
      </c>
      <c r="L96" s="9" t="n">
        <v>0.822</v>
      </c>
      <c r="M96" s="14">
        <f>IF(OR(K96="",L96="",L96=0),"",K96/L96)</f>
        <v/>
      </c>
      <c r="N96" s="9" t="inlineStr">
        <is>
          <t>冻结</t>
        </is>
      </c>
      <c r="O96" s="9">
        <f>IF(B96=0,"基准",IF(AND(N96&lt;&gt;"",I96&lt;0.85),"功能型：单看输出偏低属正常",IF(I96&gt;=0.85,"划算",IF(I96&gt;=0.65,"略亏：空位紧张时仍值得","偏亏：建议降价或加强"))))</f>
        <v/>
      </c>
    </row>
    <row r="97">
      <c r="A97" s="9" t="inlineStr">
        <is>
          <t>gem</t>
        </is>
      </c>
      <c r="B97" s="9" t="n">
        <v>3</v>
      </c>
      <c r="C97" s="9" t="n">
        <v>4</v>
      </c>
      <c r="D97" s="9" t="inlineStr">
        <is>
          <t>寒光</t>
        </is>
      </c>
      <c r="E97" s="9" t="n">
        <v>680</v>
      </c>
      <c r="F97" s="9" t="n">
        <v>1300</v>
      </c>
      <c r="G97" s="9" t="n">
        <v>2.4</v>
      </c>
      <c r="H97" s="14">
        <f>G97/F97*100</f>
        <v/>
      </c>
      <c r="I97" s="14">
        <f>IFERROR((G97/F97)/(SUMIFS($G$3:$G$98,$A$3:$A$98,A97,$B$3:$B$98,0)/SUMIFS($F$3:$F$98,$A$3:$A$98,A97,$B$3:$B$98,0)),"")</f>
        <v/>
      </c>
      <c r="J97" s="14">
        <f>IF(B97=0,1,IF(C97&lt;=1,G97-SUMIFS($G$3:$G$98,$A$3:$A$98,A97,$B$3:$B$98,0),G97-G96)/E97/(SUMIFS($G$3:$G$98,$A$3:$A$98,A97,$B$3:$B$98,0)/SUMIFS($F$3:$F$98,$A$3:$A$98,A97,$B$3:$B$98,0)))</f>
        <v/>
      </c>
      <c r="K97" s="9" t="n">
        <v>0.336</v>
      </c>
      <c r="L97" s="9" t="n">
        <v>1</v>
      </c>
      <c r="M97" s="14">
        <f>IF(OR(K97="",L97="",L97=0),"",K97/L97)</f>
        <v/>
      </c>
      <c r="N97" s="9" t="inlineStr">
        <is>
          <t>易伤</t>
        </is>
      </c>
      <c r="O97" s="9">
        <f>IF(B97=0,"基准",IF(AND(N97&lt;&gt;"",I97&lt;0.85),"功能型：单看输出偏低属正常",IF(I97&gt;=0.85,"划算",IF(I97&gt;=0.65,"略亏：空位紧张时仍值得","偏亏：建议降价或加强"))))</f>
        <v/>
      </c>
    </row>
    <row r="98">
      <c r="A98" s="9" t="inlineStr">
        <is>
          <t>gem</t>
        </is>
      </c>
      <c r="B98" s="9" t="n">
        <v>3</v>
      </c>
      <c r="C98" s="9" t="n">
        <v>5</v>
      </c>
      <c r="D98" s="9" t="inlineStr">
        <is>
          <t>星海蓝钻</t>
        </is>
      </c>
      <c r="E98" s="9" t="n">
        <v>1500</v>
      </c>
      <c r="F98" s="9" t="n">
        <v>2800</v>
      </c>
      <c r="G98" s="9" t="n">
        <v>2.4</v>
      </c>
      <c r="H98" s="14">
        <f>G98/F98*100</f>
        <v/>
      </c>
      <c r="I98" s="14">
        <f>IFERROR((G98/F98)/(SUMIFS($G$3:$G$98,$A$3:$A$98,A98,$B$3:$B$98,0)/SUMIFS($F$3:$F$98,$A$3:$A$98,A98,$B$3:$B$98,0)),"")</f>
        <v/>
      </c>
      <c r="J98" s="14">
        <f>IF(B98=0,1,IF(C98&lt;=1,G98-SUMIFS($G$3:$G$98,$A$3:$A$98,A98,$B$3:$B$98,0),G98-G97)/E98/(SUMIFS($G$3:$G$98,$A$3:$A$98,A98,$B$3:$B$98,0)/SUMIFS($F$3:$F$98,$A$3:$A$98,A98,$B$3:$B$98,0)))</f>
        <v/>
      </c>
      <c r="K98" s="9" t="n"/>
      <c r="L98" s="9" t="n"/>
      <c r="M98" s="14">
        <f>IF(OR(K98="",L98="",L98=0),"",K98/L98)</f>
        <v/>
      </c>
      <c r="N98" s="9" t="inlineStr">
        <is>
          <t>冻结、减速、对 Boss</t>
        </is>
      </c>
      <c r="O98" s="9">
        <f>IF(B98=0,"基准",IF(AND(N98&lt;&gt;"",I98&lt;0.85),"功能型：单看输出偏低属正常",IF(I98&gt;=0.85,"划算",IF(I98&gt;=0.65,"略亏：空位紧张时仍值得","偏亏：建议降价或加强"))))</f>
        <v/>
      </c>
    </row>
    <row r="100">
      <c r="A100" s="10" t="inlineStr">
        <is>
          <t>怎么看：「比同价多买基础塔」= 这套升级每 GST 的输出 ÷ 基础装置每 GST 的输出。1.0 表示和把钱拿去多放几座基础装置一样划算；装置空位有限，所以 0.85 以上就算合格。</t>
        </is>
      </c>
    </row>
    <row r="101">
      <c r="A101" s="10" t="inlineStr">
        <is>
          <t>估算假设：跑者间距 26 像素，射程内覆盖跑道 ≈ 1.6 × 射程，射程内最多 8 人。减速、冻结、眩晕、经济、光环等功能型效果不计入输出。</t>
        </is>
      </c>
    </row>
    <row r="102">
      <c r="A102" s="10" t="inlineStr">
        <is>
          <t>实测：在经典跑道上用同一波 30 人测试，比较「一座升级装置」和「花同样 GST 放几座基础装置」各清掉多少体力（脚本 tools/sim_duel.mjs）。实测只覆盖 1–4 级。</t>
        </is>
      </c>
    </row>
    <row r="103">
      <c r="A103" s="10" t="inlineStr">
        <is>
          <t>本表的估算列和实测列是生成时的快照：改了「装置」「升级」表的数值后，需要维护者重新运行 build.sh 才会更新；比值和结论列是公式，会随快照自动重算。</t>
        </is>
      </c>
    </row>
  </sheetData>
  <conditionalFormatting sqref="I3:I98">
    <cfRule type="cellIs" priority="1" operator="greaterThanOrEqual" dxfId="2">
      <formula>0.85</formula>
    </cfRule>
    <cfRule type="cellIs" priority="2" operator="between" dxfId="1">
      <formula>0.65</formula>
      <formula>0.8499</formula>
    </cfRule>
    <cfRule type="cellIs" priority="3" operator="lessThan" dxfId="0">
      <formula>0.65</formula>
    </cfRule>
  </conditionalFormatting>
  <conditionalFormatting sqref="M3:M98">
    <cfRule type="cellIs" priority="4" operator="greaterThanOrEqual" dxfId="2">
      <formula>0.85</formula>
    </cfRule>
    <cfRule type="cellIs" priority="5" operator="between" dxfId="1">
      <formula>0.65</formula>
      <formula>0.8499</formula>
    </cfRule>
    <cfRule type="cellIs" priority="6" operator="lessThan" dxfId="0">
      <formula>0.65</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2026-10-14T11:19:08Z</dcterms:created>
  <dcterms:modified xmlns:dcterms="http://purl.org/dc/terms/" xmlns:xsi="http://www.w3.org/2001/XMLSchema-instance" xsi:type="dcterms:W3CDTF">2026-10-14T11:19:08Z</dcterms:modified>
</cp:coreProperties>
</file>