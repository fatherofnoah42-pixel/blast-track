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说明" sheetId="1" state="visible" r:id="rId1"/>
    <sheet xmlns:r="http://schemas.openxmlformats.org/officeDocument/2006/relationships" name="全局" sheetId="2" state="visible" r:id="rId2"/>
    <sheet xmlns:r="http://schemas.openxmlformats.org/officeDocument/2006/relationships" name="装置" sheetId="3" state="visible" r:id="rId3"/>
    <sheet xmlns:r="http://schemas.openxmlformats.org/officeDocument/2006/relationships" name="升级路线" sheetId="4" state="visible" r:id="rId4"/>
    <sheet xmlns:r="http://schemas.openxmlformats.org/officeDocument/2006/relationships" name="升级" sheetId="5" state="visible" r:id="rId5"/>
    <sheet xmlns:r="http://schemas.openxmlformats.org/officeDocument/2006/relationships" name="敌人" sheetId="6" state="visible" r:id="rId6"/>
    <sheet xmlns:r="http://schemas.openxmlformats.org/officeDocument/2006/relationships" name="波次" sheetId="7" state="visible" r:id="rId7"/>
    <sheet xmlns:r="http://schemas.openxmlformats.org/officeDocument/2006/relationships" name="Boss" sheetId="8" state="visible" r:id="rId8"/>
    <sheet xmlns:r="http://schemas.openxmlformats.org/officeDocument/2006/relationships" name="词缀" sheetId="9" state="visible" r:id="rId9"/>
    <sheet xmlns:r="http://schemas.openxmlformats.org/officeDocument/2006/relationships" name="卡牌" sheetId="10" state="visible" r:id="rId10"/>
    <sheet xmlns:r="http://schemas.openxmlformats.org/officeDocument/2006/relationships" name="跑道列表" sheetId="11" state="visible" r:id="rId11"/>
    <sheet xmlns:r="http://schemas.openxmlformats.org/officeDocument/2006/relationships" name="地图" sheetId="12" state="visible" r:id="rId12"/>
    <sheet xmlns:r="http://schemas.openxmlformats.org/officeDocument/2006/relationships" name="美术资源" sheetId="13" state="visible" r:id="rId13"/>
    <sheet xmlns:r="http://schemas.openxmlformats.org/officeDocument/2006/relationships" name="弹道" sheetId="14" state="visible" r:id="rId14"/>
    <sheet xmlns:r="http://schemas.openxmlformats.org/officeDocument/2006/relationships" name="界面文字" sheetId="15" state="visible" r:id="rId15"/>
    <sheet xmlns:r="http://schemas.openxmlformats.org/officeDocument/2006/relationships" name="效果语法" sheetId="16" state="visible" r:id="rId16"/>
    <sheet xmlns:r="http://schemas.openxmlformats.org/officeDocument/2006/relationships" name="数值体检·波次" sheetId="17" state="visible" r:id="rId17"/>
    <sheet xmlns:r="http://schemas.openxmlformats.org/officeDocument/2006/relationships" name="数值体检·装置" sheetId="18" state="visible" r:id="rId18"/>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3">
    <font>
      <name val="Calibri"/>
      <family val="2"/>
      <color theme="1"/>
      <sz val="11"/>
      <scheme val="minor"/>
    </font>
    <font>
      <name val="Arial"/>
      <b val="1"/>
      <sz val="14"/>
    </font>
    <font>
      <name val="Arial"/>
      <sz val="11"/>
    </font>
    <font>
      <name val="Arial"/>
      <b val="1"/>
      <sz val="11"/>
    </font>
    <font>
      <name val="Arial"/>
      <b val="1"/>
      <color rgb="00FFFFFF"/>
    </font>
    <font>
      <name val="Arial"/>
      <i val="1"/>
      <color rgb="008A93A6"/>
      <sz val="9"/>
    </font>
    <font>
      <name val="Arial"/>
      <color rgb="005A6478"/>
    </font>
    <font>
      <name val="Arial"/>
      <color rgb="000000FF"/>
    </font>
    <font>
      <name val="Arial"/>
      <color rgb="00000000"/>
    </font>
    <font>
      <name val="Arial"/>
      <i val="1"/>
      <color rgb="00000000"/>
    </font>
    <font>
      <name val="Arial"/>
      <i val="1"/>
      <color rgb="005A6478"/>
    </font>
    <font>
      <name val="Arial"/>
      <b val="1"/>
    </font>
    <font>
      <name val="Arial"/>
      <b val="1"/>
      <color rgb="001A2437"/>
    </font>
  </fonts>
  <fills count="4">
    <fill>
      <patternFill/>
    </fill>
    <fill>
      <patternFill patternType="gray125"/>
    </fill>
    <fill>
      <patternFill patternType="solid">
        <fgColor rgb="001A2437"/>
      </patternFill>
    </fill>
    <fill>
      <patternFill patternType="solid">
        <fgColor rgb="00EEF0F4"/>
      </patternFill>
    </fill>
  </fills>
  <borders count="2">
    <border>
      <left/>
      <right/>
      <top/>
      <bottom/>
      <diagonal/>
    </border>
    <border>
      <left style="thin">
        <color rgb="00D5D9E0"/>
      </left>
      <right style="thin">
        <color rgb="00D5D9E0"/>
      </right>
      <top style="thin">
        <color rgb="00D5D9E0"/>
      </top>
      <bottom style="thin">
        <color rgb="00D5D9E0"/>
      </bottom>
    </border>
  </borders>
  <cellStyleXfs count="1">
    <xf numFmtId="0" fontId="0" fillId="0" borderId="0"/>
  </cellStyleXfs>
  <cellXfs count="1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5" fillId="3" borderId="1" pivotButton="0" quotePrefix="0" xfId="0"/>
    <xf numFmtId="0" fontId="6" fillId="0" borderId="1" applyAlignment="1" pivotButton="0" quotePrefix="0" xfId="0">
      <alignment vertical="top" wrapText="1"/>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0" pivotButton="0" quotePrefix="0" xfId="0"/>
    <xf numFmtId="0" fontId="12" fillId="0" borderId="0" pivotButton="0" quotePrefix="0" xfId="0"/>
    <xf numFmtId="1" fontId="9" fillId="0" borderId="1" applyAlignment="1" pivotButton="0" quotePrefix="0" xfId="0">
      <alignment vertical="top" wrapText="1"/>
    </xf>
    <xf numFmtId="164" fontId="9" fillId="0" borderId="1" applyAlignment="1" pivotButton="0" quotePrefix="0" xfId="0">
      <alignment vertical="top" wrapText="1"/>
    </xf>
    <xf numFmtId="2" fontId="9" fillId="0" borderId="1" applyAlignment="1" pivotButton="0" quotePrefix="0" xfId="0">
      <alignment vertical="top" wrapText="1"/>
    </xf>
    <xf numFmtId="165" fontId="9" fillId="0" borderId="1" applyAlignment="1" pivotButton="0" quotePrefix="0" xfId="0">
      <alignment vertical="top" wrapText="1"/>
    </xf>
    <xf numFmtId="0" fontId="11" fillId="0" borderId="0" pivotButton="0" quotePrefix="0" xfId="0"/>
    <xf numFmtId="0" fontId="7" fillId="0" borderId="1" pivotButton="0" quotePrefix="0" xfId="0"/>
  </cellXfs>
  <cellStyles count="1">
    <cellStyle name="Normal" xfId="0" builtinId="0" hidden="0"/>
  </cellStyles>
  <dxfs count="3">
    <dxf>
      <fill>
        <patternFill patternType="solid">
          <fgColor rgb="00FBD5D0"/>
        </patternFill>
      </fill>
    </dxf>
    <dxf>
      <fill>
        <patternFill patternType="solid">
          <fgColor rgb="00FFF1C2"/>
        </patternFill>
      </fill>
    </dxf>
    <dxf>
      <fill>
        <patternFill patternType="solid">
          <fgColor rgb="00D8F2D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omments/comment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8.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9.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0.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1.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2.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3.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4.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5.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6.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comments/comment17.xml><?xml version="1.0" encoding="utf-8"?>
<comments xmlns="http://schemas.openxmlformats.org/spreadsheetml/2006/main">
  <authors>
    <author>config</author>
  </authors>
  <commentList>
    <comment ref="A2" authorId="0" shapeId="0">
      <text>
        <t>第 2 行是给游戏读取的字段名，请不要修改。</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sheet1.xml><?xml version="1.0" encoding="utf-8"?>
<worksheet xmlns="http://schemas.openxmlformats.org/spreadsheetml/2006/main">
  <sheetPr>
    <outlinePr summaryBelow="1" summaryRight="1"/>
    <pageSetUpPr/>
  </sheetPr>
  <dimension ref="A1:A37"/>
  <sheetViews>
    <sheetView workbookViewId="0">
      <selection activeCell="A1" sqref="A1"/>
    </sheetView>
  </sheetViews>
  <sheetFormatPr baseColWidth="8" defaultRowHeight="15"/>
  <cols>
    <col width="120" customWidth="1" min="1" max="1"/>
  </cols>
  <sheetData>
    <row r="1">
      <c r="A1" s="1" t="inlineStr">
        <is>
          <t>爆破跑道 · 游戏配置表</t>
        </is>
      </c>
    </row>
    <row r="2">
      <c r="A2" s="2" t="inlineStr"/>
    </row>
    <row r="3">
      <c r="A3" s="3" t="inlineStr">
        <is>
          <t>怎么用</t>
        </is>
      </c>
    </row>
    <row r="4">
      <c r="A4" s="2" t="inlineStr">
        <is>
          <t>1. 修改各工作表里的数值和名称（蓝色字是数值，黑色字是文字，灰色字是 id，不要改 id）。</t>
        </is>
      </c>
    </row>
    <row r="5">
      <c r="A5" s="2" t="inlineStr">
        <is>
          <t>2. 每个工作表的第 2 行是游戏读取用的字段名，请不要修改、删除或调换列顺序以外的内容；可以调换列顺序。</t>
        </is>
      </c>
    </row>
    <row r="6">
      <c r="A6" s="2" t="inlineStr">
        <is>
          <t>3. 在 Excel 中保存为 .xlsx；如果用 Google Sheets，先把本文件上传到 Google 云端硬盘并用 Google 表格打开，改完后选「文件 → 下载 → Microsoft Excel (.xlsx)」。</t>
        </is>
      </c>
    </row>
    <row r="7">
      <c r="A7" s="2" t="inlineStr">
        <is>
          <t>4. 打开游戏页面，点「导入配置表 (.xlsx)」选择文件。游戏会立即按新配置重新开局；有问题的单元格会列在导入提示里，并自动使用默认值。</t>
        </is>
      </c>
    </row>
    <row r="8">
      <c r="A8" s="2" t="inlineStr">
        <is>
          <t>5. 点「恢复默认」可以回到内置配置。导入的配置只保存在当前浏览器里，换设备需要重新导入。</t>
        </is>
      </c>
    </row>
    <row r="9">
      <c r="A9" s="2" t="inlineStr"/>
    </row>
    <row r="10">
      <c r="A10" s="3" t="inlineStr">
        <is>
          <t>注意</t>
        </is>
      </c>
    </row>
    <row r="11">
      <c r="A11" s="2" t="inlineStr">
        <is>
          <t>· 说明文字不会随数值自动变化。改了数值（比如冷却秒数），记得同步改对应的说明文字（三种语言）。</t>
        </is>
      </c>
    </row>
    <row r="12">
      <c r="A12" s="2" t="inlineStr">
        <is>
          <t>· 名称、说明都有中文、English、Français 三列；某一列留空会使用原来的文字。</t>
        </is>
      </c>
    </row>
    <row r="13">
      <c r="A13" s="2" t="inlineStr">
        <is>
          <t>· 斜体黑字的列（如「累计花费」「本波总人数」）是自动计算的参考列，游戏不读取。</t>
        </is>
      </c>
    </row>
    <row r="14">
      <c r="A14" s="2" t="inlineStr">
        <is>
          <t>· 「波次」表的行数就是总波数，可以增删行；boss 列填 1 的波次会出现 Boss。</t>
        </is>
      </c>
    </row>
    <row r="15">
      <c r="A15" s="2" t="inlineStr">
        <is>
          <t>· 「Boss」「卡牌」表的 enabled 填 0 可以停用该 Boss 或卡牌。</t>
        </is>
      </c>
    </row>
    <row r="16">
      <c r="A16" s="2" t="inlineStr">
        <is>
          <t>· 「升级」表的 effect 列用简单语法描述效果，写法见「效果语法」工作表。</t>
        </is>
      </c>
    </row>
    <row r="17">
      <c r="A17" s="2" t="inlineStr">
        <is>
          <t>· 地图坐标以 360 × 600 的画布为准，左上角是 (0, 0)。一种跑道可以有多条路线，实现多进口、多出口。</t>
        </is>
      </c>
    </row>
    <row r="18">
      <c r="A18" s="2" t="inlineStr">
        <is>
          <t>· 局内 GST 只是关卡内货币，不和任何真实资产挂钩。</t>
        </is>
      </c>
    </row>
    <row r="19">
      <c r="A19" s="2" t="inlineStr"/>
    </row>
    <row r="20">
      <c r="A20" s="3" t="inlineStr">
        <is>
          <t>工作表一览</t>
        </is>
      </c>
    </row>
    <row r="21">
      <c r="A21" s="2" t="inlineStr">
        <is>
          <t>全局：经济、抽卡权重、出怪节奏、各种机制倍率等全局参数</t>
        </is>
      </c>
    </row>
    <row r="22">
      <c r="A22" s="2" t="inlineStr">
        <is>
          <t>装置：6 个装置家族 + 矿机的名称、价格、基础数值和「基础附加效果」</t>
        </is>
      </c>
    </row>
    <row r="23">
      <c r="A23" s="2" t="inlineStr">
        <is>
          <t>升级路线：每种装置 3 条路线的名称</t>
        </is>
      </c>
    </row>
    <row r="24">
      <c r="A24" s="2" t="inlineStr">
        <is>
          <t>升级：每条路线 6 级（矿机 5 级）的名称、价格、说明和效果</t>
        </is>
      </c>
    </row>
    <row r="25">
      <c r="A25" s="2" t="inlineStr">
        <is>
          <t>敌人：慢跑者、耐力跑者、Boss，以及雨衣、弹簧鞋、降噪耳机、巨鲸 4 种克制型跑者的基础数值</t>
        </is>
      </c>
    </row>
    <row r="26">
      <c r="A26" s="2" t="inlineStr">
        <is>
          <t>波次：每一波的人数、体力、是否有 Boss、词缀数量、4 种克制型跑者的人数</t>
        </is>
      </c>
    </row>
    <row r="27">
      <c r="A27" s="2" t="inlineStr">
        <is>
          <t>Boss：6 位 Boss 的名称、能力说明和能力参数 p1–p4</t>
        </is>
      </c>
    </row>
    <row r="28">
      <c r="A28" s="2" t="inlineStr">
        <is>
          <t>词缀：4 种对手词缀的名称和说明（数值在「全局」）</t>
        </is>
      </c>
    </row>
    <row r="29">
      <c r="A29" s="2" t="inlineStr">
        <is>
          <t>卡牌：神秘箱里的全部卡牌</t>
        </is>
      </c>
    </row>
    <row r="30">
      <c r="A30" s="2" t="inlineStr">
        <is>
          <t>跑道列表：6 种跑道（单进单出、双进双出、单进双出、双进单出、十字交叉、三进单出）的名称、启用开关和难度倍率</t>
        </is>
      </c>
    </row>
    <row r="31">
      <c r="A31" s="2" t="inlineStr">
        <is>
          <t>地图：每种跑道的路线点（空位坐标已不再使用：装置可以放在跑道外任意空格子上）</t>
        </is>
      </c>
    </row>
    <row r="32">
      <c r="A32" s="2" t="inlineStr">
        <is>
          <t>美术资源：每张美术图的编号、图片地址、动画 JSON、游戏内尺寸和锚点；留空就用游戏里的矢量占位图</t>
        </is>
      </c>
    </row>
    <row r="33">
      <c r="A33" s="2" t="inlineStr">
        <is>
          <t>弹道：每种子弹的弹道类型、速度、抛物线高度和是否追踪</t>
        </is>
      </c>
    </row>
    <row r="34">
      <c r="A34" s="2" t="inlineStr">
        <is>
          <t>界面文字：按钮、提示等界面文字的三语翻译</t>
        </is>
      </c>
    </row>
    <row r="35">
      <c r="A35" s="2" t="inlineStr">
        <is>
          <t>效果语法：「升级」表 effect 列的写法</t>
        </is>
      </c>
    </row>
    <row r="36">
      <c r="A36" s="2" t="inlineStr">
        <is>
          <t>数值体检·波次：用公式估算每一波的压力系数（需要的输出 ÷ 可用输出），改了波次、敌人、全局表会自动重算</t>
        </is>
      </c>
    </row>
    <row r="37">
      <c r="A37" s="2" t="inlineStr">
        <is>
          <t>数值体检·装置：每个升级和「同价多放几座基础装置」比谁更划算，含估算和实测两套数字</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2" customWidth="1" min="1" max="1"/>
    <col width="12" customWidth="1" min="2" max="2"/>
    <col width="60" customWidth="1" min="3" max="3"/>
  </cols>
  <sheetData>
    <row r="1" ht="30" customHeight="1">
      <c r="A1" s="4" t="inlineStr">
        <is>
          <t>参数</t>
        </is>
      </c>
      <c r="B1" s="4" t="inlineStr">
        <is>
          <t>数值</t>
        </is>
      </c>
      <c r="C1" s="4" t="inlineStr">
        <is>
          <t>说明</t>
        </is>
      </c>
    </row>
    <row r="2">
      <c r="A2" s="5" t="inlineStr">
        <is>
          <t>key</t>
        </is>
      </c>
      <c r="B2" s="5" t="inlineStr">
        <is>
          <t>value</t>
        </is>
      </c>
      <c r="C2" s="5" t="inlineStr">
        <is>
          <t>desc</t>
        </is>
      </c>
    </row>
    <row r="3">
      <c r="A3" s="6" t="inlineStr">
        <is>
          <t>waves</t>
        </is>
      </c>
      <c r="B3" s="7" t="n">
        <v>15</v>
      </c>
      <c r="C3" s="8" t="inlineStr">
        <is>
          <t>总波数（须与「波次」表行数一致）</t>
        </is>
      </c>
    </row>
    <row r="4">
      <c r="A4" s="6" t="inlineStr">
        <is>
          <t>eliteAffixes</t>
        </is>
      </c>
      <c r="B4" s="7" t="n">
        <v>2</v>
      </c>
      <c r="C4" s="8" t="inlineStr">
        <is>
          <t>精英波词缀数量</t>
        </is>
      </c>
    </row>
    <row r="5">
      <c r="A5" s="6" t="inlineStr">
        <is>
          <t>startGold</t>
        </is>
      </c>
      <c r="B5" s="7" t="n">
        <v>300</v>
      </c>
      <c r="C5" s="8" t="inlineStr">
        <is>
          <t>开局 GST</t>
        </is>
      </c>
    </row>
    <row r="6">
      <c r="A6" s="6" t="inlineStr">
        <is>
          <t>startLives</t>
        </is>
      </c>
      <c r="B6" s="7" t="n">
        <v>20</v>
      </c>
      <c r="C6" s="8" t="inlineStr">
        <is>
          <t>开局生命</t>
        </is>
      </c>
    </row>
    <row r="7">
      <c r="A7" s="6" t="inlineStr">
        <is>
          <t>waveReward</t>
        </is>
      </c>
      <c r="B7" s="7" t="n">
        <v>30</v>
      </c>
      <c r="C7" s="8" t="inlineStr">
        <is>
          <t>每波守住的基础 GST 奖励</t>
        </is>
      </c>
    </row>
    <row r="8">
      <c r="A8" s="6" t="inlineStr">
        <is>
          <t>eliteReward</t>
        </is>
      </c>
      <c r="B8" s="7" t="n">
        <v>60</v>
      </c>
      <c r="C8" s="8" t="inlineStr">
        <is>
          <t>精英波额外 GST 奖励</t>
        </is>
      </c>
    </row>
    <row r="9">
      <c r="A9" s="6" t="inlineStr">
        <is>
          <t>eliteHpMult</t>
        </is>
      </c>
      <c r="B9" s="7" t="n">
        <v>1.4</v>
      </c>
      <c r="C9" s="8" t="inlineStr">
        <is>
          <t>精英波对手体力倍率</t>
        </is>
      </c>
    </row>
    <row r="10">
      <c r="A10" s="6" t="inlineStr">
        <is>
          <t>betweenTime</t>
        </is>
      </c>
      <c r="B10" s="7" t="n">
        <v>8</v>
      </c>
      <c r="C10" s="8" t="inlineStr">
        <is>
          <t>两波之间的布置时间（秒）</t>
        </is>
      </c>
    </row>
    <row r="11">
      <c r="A11" s="6" t="inlineStr">
        <is>
          <t>earlyBonusPerSec</t>
        </is>
      </c>
      <c r="B11" s="7" t="n">
        <v>5</v>
      </c>
      <c r="C11" s="8" t="inlineStr">
        <is>
          <t>提前开波每剩 1 秒奖励的 GST</t>
        </is>
      </c>
    </row>
    <row r="12">
      <c r="A12" s="6" t="inlineStr">
        <is>
          <t>rerollBase</t>
        </is>
      </c>
      <c r="B12" s="7" t="n">
        <v>20</v>
      </c>
      <c r="C12" s="8" t="inlineStr">
        <is>
          <t>神秘箱重抽起始价格</t>
        </is>
      </c>
    </row>
    <row r="13">
      <c r="A13" s="6" t="inlineStr">
        <is>
          <t>rerollStep</t>
        </is>
      </c>
      <c r="B13" s="7" t="n">
        <v>10</v>
      </c>
      <c r="C13" s="8" t="inlineStr">
        <is>
          <t>每次重抽涨价</t>
        </is>
      </c>
    </row>
    <row r="14">
      <c r="A14" s="6" t="inlineStr">
        <is>
          <t>sellRefund</t>
        </is>
      </c>
      <c r="B14" s="7" t="n">
        <v>0.6</v>
      </c>
      <c r="C14" s="8" t="inlineStr">
        <is>
          <t>回收装置返还比例</t>
        </is>
      </c>
    </row>
    <row r="15">
      <c r="A15" s="6" t="inlineStr">
        <is>
          <t>secCap</t>
        </is>
      </c>
      <c r="B15" s="7" t="n">
        <v>2</v>
      </c>
      <c r="C15" s="8" t="inlineStr">
        <is>
          <t>次路线等级上限</t>
        </is>
      </c>
    </row>
    <row r="16">
      <c r="A16" s="6" t="inlineStr">
        <is>
          <t>secCapBreaker</t>
        </is>
      </c>
      <c r="B16" s="7" t="n">
        <v>3</v>
      </c>
      <c r="C16" s="8" t="inlineStr">
        <is>
          <t>抽到「创世鞋」后的次路线上限</t>
        </is>
      </c>
    </row>
    <row r="17">
      <c r="A17" s="6" t="inlineStr">
        <is>
          <t>masterDmg</t>
        </is>
      </c>
      <c r="B17" s="7" t="n">
        <v>1.25</v>
      </c>
      <c r="C17" s="8" t="inlineStr">
        <is>
          <t>徽章卡：该装置效果倍率</t>
        </is>
      </c>
    </row>
    <row r="18">
      <c r="A18" s="6" t="inlineStr">
        <is>
          <t>masterCost</t>
        </is>
      </c>
      <c r="B18" s="7" t="n">
        <v>0.8</v>
      </c>
      <c r="C18" s="8" t="inlineStr">
        <is>
          <t>徽章卡：该装置升级费用倍率</t>
        </is>
      </c>
    </row>
    <row r="19">
      <c r="A19" s="6" t="inlineStr">
        <is>
          <t>couponMult</t>
        </is>
      </c>
      <c r="B19" s="7" t="n">
        <v>0.5</v>
      </c>
      <c r="C19" s="8" t="inlineStr">
        <is>
          <t>升级卷轴：升级费用倍率</t>
        </is>
      </c>
    </row>
    <row r="20">
      <c r="A20" s="6" t="inlineStr">
        <is>
          <t>critBase</t>
        </is>
      </c>
      <c r="B20" s="7" t="n">
        <v>0.12</v>
      </c>
      <c r="C20" s="8" t="inlineStr">
        <is>
          <t>基础暴击率</t>
        </is>
      </c>
    </row>
    <row r="21">
      <c r="A21" s="6" t="inlineStr">
        <is>
          <t>critMul</t>
        </is>
      </c>
      <c r="B21" s="7" t="n">
        <v>2</v>
      </c>
      <c r="C21" s="8" t="inlineStr">
        <is>
          <t>基础暴击倍率</t>
        </is>
      </c>
    </row>
    <row r="22">
      <c r="A22" s="6" t="inlineStr">
        <is>
          <t>markBonus</t>
        </is>
      </c>
      <c r="B22" s="7" t="n">
        <v>0.2</v>
      </c>
      <c r="C22" s="8" t="inlineStr">
        <is>
          <t>「汽水黏鞋」标记后受到的额外效果</t>
        </is>
      </c>
    </row>
    <row r="23">
      <c r="A23" s="6" t="inlineStr">
        <is>
          <t>comboWindow</t>
        </is>
      </c>
      <c r="B23" s="7" t="n">
        <v>1.2</v>
      </c>
      <c r="C23" s="8" t="inlineStr">
        <is>
          <t>连续劝退的判定间隔（秒）</t>
        </is>
      </c>
    </row>
    <row r="24">
      <c r="A24" s="6" t="inlineStr">
        <is>
          <t>frenzyNeed</t>
        </is>
      </c>
      <c r="B24" s="7" t="n">
        <v>50</v>
      </c>
      <c r="C24" s="8" t="inlineStr">
        <is>
          <t>触发燃脂模式所需连续劝退</t>
        </is>
      </c>
    </row>
    <row r="25">
      <c r="A25" s="6" t="inlineStr">
        <is>
          <t>frenzyDur</t>
        </is>
      </c>
      <c r="B25" s="7" t="n">
        <v>5</v>
      </c>
      <c r="C25" s="8" t="inlineStr">
        <is>
          <t>燃脂模式持续（秒）</t>
        </is>
      </c>
    </row>
    <row r="26">
      <c r="A26" s="6" t="inlineStr">
        <is>
          <t>frenzyRate</t>
        </is>
      </c>
      <c r="B26" s="7" t="n">
        <v>1.6</v>
      </c>
      <c r="C26" s="8" t="inlineStr">
        <is>
          <t>燃脂模式出手速度倍率</t>
        </is>
      </c>
    </row>
    <row r="27">
      <c r="A27" s="6" t="inlineStr">
        <is>
          <t>marathonDur</t>
        </is>
      </c>
      <c r="B27" s="7" t="n">
        <v>10</v>
      </c>
      <c r="C27" s="8" t="inlineStr">
        <is>
          <t>马拉松模式：燃脂持续（秒）</t>
        </is>
      </c>
    </row>
    <row r="28">
      <c r="A28" s="6" t="inlineStr">
        <is>
          <t>marathonRate</t>
        </is>
      </c>
      <c r="B28" s="7" t="n">
        <v>2</v>
      </c>
      <c r="C28" s="8" t="inlineStr">
        <is>
          <t>马拉松模式：出手速度倍率</t>
        </is>
      </c>
    </row>
    <row r="29">
      <c r="A29" s="6" t="inlineStr">
        <is>
          <t>warmBonus</t>
        </is>
      </c>
      <c r="B29" s="7" t="n">
        <v>0.1</v>
      </c>
      <c r="C29" s="8" t="inlineStr">
        <is>
          <t>当天跑步 ≥ 2 km 的热身效果加成</t>
        </is>
      </c>
    </row>
    <row r="30">
      <c r="A30" s="6" t="inlineStr">
        <is>
          <t>warmKm</t>
        </is>
      </c>
      <c r="B30" s="7" t="n">
        <v>2</v>
      </c>
      <c r="C30" s="8" t="inlineStr">
        <is>
          <t>热身：当天在 STEPN 跑满多少 km 触发</t>
        </is>
      </c>
    </row>
    <row r="31">
      <c r="A31" s="6" t="inlineStr">
        <is>
          <t>rpPerKm1</t>
        </is>
      </c>
      <c r="B31" s="7" t="n">
        <v>10</v>
      </c>
      <c r="C31" s="8" t="inlineStr">
        <is>
          <t>RP：前 5 km 每 km 获得的 RP</t>
        </is>
      </c>
    </row>
    <row r="32">
      <c r="A32" s="6" t="inlineStr">
        <is>
          <t>rpPerKm2</t>
        </is>
      </c>
      <c r="B32" s="7" t="n">
        <v>5</v>
      </c>
      <c r="C32" s="8" t="inlineStr">
        <is>
          <t>RP：5–10 km 每 km 获得的 RP</t>
        </is>
      </c>
    </row>
    <row r="33">
      <c r="A33" s="6" t="inlineStr">
        <is>
          <t>rpDailyCap</t>
        </is>
      </c>
      <c r="B33" s="7" t="n">
        <v>75</v>
      </c>
      <c r="C33" s="8" t="inlineStr">
        <is>
          <t>RP：单日上限</t>
        </is>
      </c>
    </row>
    <row r="34">
      <c r="A34" s="6" t="inlineStr">
        <is>
          <t>talentRP1</t>
        </is>
      </c>
      <c r="B34" s="7" t="n">
        <v>200</v>
      </c>
      <c r="C34" s="8" t="inlineStr">
        <is>
          <t>天赋一档所需累计 RP</t>
        </is>
      </c>
    </row>
    <row r="35">
      <c r="A35" s="6" t="inlineStr">
        <is>
          <t>talentRP2</t>
        </is>
      </c>
      <c r="B35" s="7" t="n">
        <v>600</v>
      </c>
      <c r="C35" s="8" t="inlineStr">
        <is>
          <t>天赋二档所需累计 RP</t>
        </is>
      </c>
    </row>
    <row r="36">
      <c r="A36" s="6" t="inlineStr">
        <is>
          <t>talentRP3</t>
        </is>
      </c>
      <c r="B36" s="7" t="n">
        <v>1200</v>
      </c>
      <c r="C36" s="8" t="inlineStr">
        <is>
          <t>天赋三档所需累计 RP</t>
        </is>
      </c>
    </row>
    <row r="37">
      <c r="A37" s="6" t="inlineStr">
        <is>
          <t>talentBonus1</t>
        </is>
      </c>
      <c r="B37" s="7" t="n">
        <v>0.1</v>
      </c>
      <c r="C37" s="8" t="inlineStr">
        <is>
          <t>天赋一档：全部装置效果加成</t>
        </is>
      </c>
    </row>
    <row r="38">
      <c r="A38" s="6" t="inlineStr">
        <is>
          <t>talentBonus2</t>
        </is>
      </c>
      <c r="B38" s="7" t="n">
        <v>0.2</v>
      </c>
      <c r="C38" s="8" t="inlineStr">
        <is>
          <t>天赋二档：全部装置效果加成</t>
        </is>
      </c>
    </row>
    <row r="39">
      <c r="A39" s="6" t="inlineStr">
        <is>
          <t>talentBonus3</t>
        </is>
      </c>
      <c r="B39" s="7" t="n">
        <v>0.3</v>
      </c>
      <c r="C39" s="8" t="inlineStr">
        <is>
          <t>天赋三档：全部装置效果加成</t>
        </is>
      </c>
    </row>
    <row r="40">
      <c r="A40" s="6" t="inlineStr">
        <is>
          <t>rarityC</t>
        </is>
      </c>
      <c r="B40" s="7" t="n">
        <v>60</v>
      </c>
      <c r="C40" s="8" t="inlineStr">
        <is>
          <t>神秘箱抽卡权重：普通</t>
        </is>
      </c>
    </row>
    <row r="41">
      <c r="A41" s="6" t="inlineStr">
        <is>
          <t>rarityR</t>
        </is>
      </c>
      <c r="B41" s="7" t="n">
        <v>30</v>
      </c>
      <c r="C41" s="8" t="inlineStr">
        <is>
          <t>神秘箱抽卡权重：稀有</t>
        </is>
      </c>
    </row>
    <row r="42">
      <c r="A42" s="6" t="inlineStr">
        <is>
          <t>rarityL</t>
        </is>
      </c>
      <c r="B42" s="7" t="n">
        <v>10</v>
      </c>
      <c r="C42" s="8" t="inlineStr">
        <is>
          <t>神秘箱抽卡权重：传说</t>
        </is>
      </c>
    </row>
    <row r="43">
      <c r="A43" s="6" t="inlineStr">
        <is>
          <t>bankRate</t>
        </is>
      </c>
      <c r="B43" s="7" t="n">
        <v>0.1</v>
      </c>
      <c r="C43" s="8" t="inlineStr">
        <is>
          <t>GMT 质押：每波利息比例</t>
        </is>
      </c>
    </row>
    <row r="44">
      <c r="A44" s="6" t="inlineStr">
        <is>
          <t>bankCap</t>
        </is>
      </c>
      <c r="B44" s="7" t="n">
        <v>60</v>
      </c>
      <c r="C44" s="8" t="inlineStr">
        <is>
          <t>GMT 质押：每波利息上限</t>
        </is>
      </c>
    </row>
    <row r="45">
      <c r="A45" s="6" t="inlineStr">
        <is>
          <t>goldenChance</t>
        </is>
      </c>
      <c r="B45" s="7" t="n">
        <v>0.1</v>
      </c>
      <c r="C45" s="8" t="inlineStr">
        <is>
          <t>神秘箱跑者出现概率</t>
        </is>
      </c>
    </row>
    <row r="46">
      <c r="A46" s="6" t="inlineStr">
        <is>
          <t>goldenMult</t>
        </is>
      </c>
      <c r="B46" s="7" t="n">
        <v>5</v>
      </c>
      <c r="C46" s="8" t="inlineStr">
        <is>
          <t>神秘箱跑者 GST 倍率</t>
        </is>
      </c>
    </row>
    <row r="47">
      <c r="A47" s="6" t="inlineStr">
        <is>
          <t>popRadius</t>
        </is>
      </c>
      <c r="B47" s="7" t="n">
        <v>34</v>
      </c>
      <c r="C47" s="8" t="inlineStr">
        <is>
          <t>Gas Hero 毒气半径</t>
        </is>
      </c>
    </row>
    <row r="48">
      <c r="A48" s="6" t="inlineStr">
        <is>
          <t>popBase</t>
        </is>
      </c>
      <c r="B48" s="7" t="n">
        <v>2</v>
      </c>
      <c r="C48" s="8" t="inlineStr">
        <is>
          <t>Gas Hero 毒气基础效果</t>
        </is>
      </c>
    </row>
    <row r="49">
      <c r="A49" s="6" t="inlineStr">
        <is>
          <t>popPerWave</t>
        </is>
      </c>
      <c r="B49" s="7" t="n">
        <v>0.5</v>
      </c>
      <c r="C49" s="8" t="inlineStr">
        <is>
          <t>Gas Hero 毒气每波增加的效果</t>
        </is>
      </c>
    </row>
    <row r="50">
      <c r="A50" s="6" t="inlineStr">
        <is>
          <t>popChainRadius</t>
        </is>
      </c>
      <c r="B50" s="7" t="n">
        <v>1.5</v>
      </c>
      <c r="C50" s="8" t="inlineStr">
        <is>
          <t>连环毒气：半径倍率</t>
        </is>
      </c>
    </row>
    <row r="51">
      <c r="A51" s="6" t="inlineStr">
        <is>
          <t>popChainDmg</t>
        </is>
      </c>
      <c r="B51" s="7" t="n">
        <v>2</v>
      </c>
      <c r="C51" s="8" t="inlineStr">
        <is>
          <t>连环毒气：效果倍率</t>
        </is>
      </c>
    </row>
    <row r="52">
      <c r="A52" s="6" t="inlineStr">
        <is>
          <t>twinChance</t>
        </is>
      </c>
      <c r="B52" s="7" t="n">
        <v>0.2</v>
      </c>
      <c r="C52" s="8" t="inlineStr">
        <is>
          <t>双倍铸造：立刻再出手概率</t>
        </is>
      </c>
    </row>
    <row r="53">
      <c r="A53" s="6" t="inlineStr">
        <is>
          <t>freeupFallback</t>
        </is>
      </c>
      <c r="B53" s="7" t="n">
        <v>100</v>
      </c>
      <c r="C53" s="8" t="inlineStr">
        <is>
          <t>鞋匠：场上没有装置时改给的 GST</t>
        </is>
      </c>
    </row>
    <row r="54">
      <c r="A54" s="6" t="inlineStr">
        <is>
          <t>spawnBase</t>
        </is>
      </c>
      <c r="B54" s="7" t="n">
        <v>0.62</v>
      </c>
      <c r="C54" s="8" t="inlineStr">
        <is>
          <t>出怪间隔基础值（秒）</t>
        </is>
      </c>
    </row>
    <row r="55">
      <c r="A55" s="6" t="inlineStr">
        <is>
          <t>spawnPerWave</t>
        </is>
      </c>
      <c r="B55" s="7" t="n">
        <v>0.022</v>
      </c>
      <c r="C55" s="8" t="inlineStr">
        <is>
          <t>出怪间隔每波缩短</t>
        </is>
      </c>
    </row>
    <row r="56">
      <c r="A56" s="6" t="inlineStr">
        <is>
          <t>spawnMin</t>
        </is>
      </c>
      <c r="B56" s="7" t="n">
        <v>0.28</v>
      </c>
      <c r="C56" s="8" t="inlineStr">
        <is>
          <t>出怪间隔下限</t>
        </is>
      </c>
    </row>
    <row r="57">
      <c r="A57" s="6" t="inlineStr">
        <is>
          <t>spawnArmorMult</t>
        </is>
      </c>
      <c r="B57" s="7" t="n">
        <v>1.3</v>
      </c>
      <c r="C57" s="8" t="inlineStr">
        <is>
          <t>耐力跑者、巨鲸出场后间隔倍率</t>
        </is>
      </c>
    </row>
    <row r="58">
      <c r="A58" s="6" t="inlineStr">
        <is>
          <t>hpRain</t>
        </is>
      </c>
      <c r="B58" s="7" t="n">
        <v>1.2</v>
      </c>
      <c r="C58" s="8" t="inlineStr">
        <is>
          <t>雨衣跑者体力 = 慢跑者体力 × 此值</t>
        </is>
      </c>
    </row>
    <row r="59">
      <c r="A59" s="6" t="inlineStr">
        <is>
          <t>hpHop</t>
        </is>
      </c>
      <c r="B59" s="7" t="n">
        <v>1</v>
      </c>
      <c r="C59" s="8" t="inlineStr">
        <is>
          <t>弹簧鞋跑者体力 = 慢跑者体力 × 此值</t>
        </is>
      </c>
    </row>
    <row r="60">
      <c r="A60" s="6" t="inlineStr">
        <is>
          <t>hpPhones</t>
        </is>
      </c>
      <c r="B60" s="7" t="n">
        <v>1.2</v>
      </c>
      <c r="C60" s="8" t="inlineStr">
        <is>
          <t>降噪耳机跑者体力 = 慢跑者体力 × 此值</t>
        </is>
      </c>
    </row>
    <row r="61">
      <c r="A61" s="6" t="inlineStr">
        <is>
          <t>hpWhale</t>
        </is>
      </c>
      <c r="B61" s="7" t="n">
        <v>3</v>
      </c>
      <c r="C61" s="8" t="inlineStr">
        <is>
          <t>巨鲸体力 = 耐力跑者体力 × 此值</t>
        </is>
      </c>
    </row>
    <row r="62">
      <c r="A62" s="6" t="inlineStr">
        <is>
          <t>hopDmg</t>
        </is>
      </c>
      <c r="B62" s="7" t="n">
        <v>0.2</v>
      </c>
      <c r="C62" s="8" t="inlineStr">
        <is>
          <t>弹簧鞋跑者跳过香蕉皮时只吃的效果比例</t>
        </is>
      </c>
    </row>
    <row r="63">
      <c r="A63" s="6" t="inlineStr">
        <is>
          <t>whaleMin</t>
        </is>
      </c>
      <c r="B63" s="7" t="n">
        <v>4</v>
      </c>
      <c r="C63" s="8" t="inlineStr">
        <is>
          <t>巨鲸：单次效果低于此值的攻击会被削弱</t>
        </is>
      </c>
    </row>
    <row r="64">
      <c r="A64" s="6" t="inlineStr">
        <is>
          <t>whaleChip</t>
        </is>
      </c>
      <c r="B64" s="7" t="n">
        <v>0.33</v>
      </c>
      <c r="C64" s="8" t="inlineStr">
        <is>
          <t>巨鲸：被削弱的攻击只算此比例</t>
        </is>
      </c>
    </row>
    <row r="65">
      <c r="A65" s="6" t="inlineStr">
        <is>
          <t>slowCap</t>
        </is>
      </c>
      <c r="B65" s="7" t="n">
        <v>0.85</v>
      </c>
      <c r="C65" s="8" t="inlineStr">
        <is>
          <t>减速上限</t>
        </is>
      </c>
    </row>
    <row r="66">
      <c r="A66" s="6" t="inlineStr">
        <is>
          <t>bossSlowMult</t>
        </is>
      </c>
      <c r="B66" s="7" t="n">
        <v>0.5</v>
      </c>
      <c r="C66" s="8" t="inlineStr">
        <is>
          <t>Boss 受减速的比例（未升「冰桶挑战」时）</t>
        </is>
      </c>
    </row>
    <row r="67">
      <c r="A67" s="6" t="inlineStr">
        <is>
          <t>bossStunMult</t>
        </is>
      </c>
      <c r="B67" s="7" t="n">
        <v>0.25</v>
      </c>
      <c r="C67" s="8" t="inlineStr">
        <is>
          <t>Boss 受眩晕时长比例</t>
        </is>
      </c>
    </row>
    <row r="68">
      <c r="A68" s="6" t="inlineStr">
        <is>
          <t>miniHp</t>
        </is>
      </c>
      <c r="B68" s="7" t="n">
        <v>0.35</v>
      </c>
      <c r="C68" s="8" t="inlineStr">
        <is>
          <t>跑团：跟跑者体力占原跑者比例</t>
        </is>
      </c>
    </row>
    <row r="69">
      <c r="A69" s="6" t="inlineStr">
        <is>
          <t>miniGold</t>
        </is>
      </c>
      <c r="B69" s="7" t="n">
        <v>2</v>
      </c>
      <c r="C69" s="8" t="inlineStr">
        <is>
          <t>跟跑者 GST</t>
        </is>
      </c>
    </row>
    <row r="70">
      <c r="A70" s="6" t="inlineStr">
        <is>
          <t>miniSpeed</t>
        </is>
      </c>
      <c r="B70" s="7" t="n">
        <v>1.15</v>
      </c>
      <c r="C70" s="8" t="inlineStr">
        <is>
          <t>跟跑者速度倍率</t>
        </is>
      </c>
    </row>
    <row r="71">
      <c r="A71" s="6" t="inlineStr">
        <is>
          <t>shieldPct</t>
        </is>
      </c>
      <c r="B71" s="7" t="n">
        <v>0.35</v>
      </c>
      <c r="C71" s="8" t="inlineStr">
        <is>
          <t>能量盾占体力比例</t>
        </is>
      </c>
    </row>
    <row r="72">
      <c r="A72" s="6" t="inlineStr">
        <is>
          <t>regenPct</t>
        </is>
      </c>
      <c r="B72" s="7" t="n">
        <v>0.05</v>
      </c>
      <c r="C72" s="8" t="inlineStr">
        <is>
          <t>补给词缀：每秒回复比例</t>
        </is>
      </c>
    </row>
    <row r="73">
      <c r="A73" s="6" t="inlineStr">
        <is>
          <t>regenDelay</t>
        </is>
      </c>
      <c r="B73" s="7" t="n">
        <v>1</v>
      </c>
      <c r="C73" s="8" t="inlineStr">
        <is>
          <t>补给词缀：多久没被干扰开始回复（秒）</t>
        </is>
      </c>
    </row>
    <row r="74">
      <c r="A74" s="6" t="inlineStr">
        <is>
          <t>swiftMult</t>
        </is>
      </c>
      <c r="B74" s="7" t="n">
        <v>1.4</v>
      </c>
      <c r="C74" s="8" t="inlineStr">
        <is>
          <t>冲刺词缀：速度倍率</t>
        </is>
      </c>
    </row>
    <row r="75">
      <c r="A75" s="6" t="inlineStr">
        <is>
          <t>shrapnelRange</t>
        </is>
      </c>
      <c r="B75" s="7" t="n">
        <v>90</v>
      </c>
      <c r="C75" s="8" t="inlineStr">
        <is>
          <t>香蕉碎片：溅射距离</t>
        </is>
      </c>
    </row>
    <row r="76">
      <c r="A76" s="6" t="inlineStr">
        <is>
          <t>shrapnelPct</t>
        </is>
      </c>
      <c r="B76" s="7" t="n">
        <v>0.3</v>
      </c>
      <c r="C76" s="8" t="inlineStr">
        <is>
          <t>香蕉碎片：每块效果比例</t>
        </is>
      </c>
    </row>
    <row r="77">
      <c r="A77" s="6" t="inlineStr">
        <is>
          <t>clusterPct</t>
        </is>
      </c>
      <c r="B77" s="7" t="n">
        <v>0.4</v>
      </c>
      <c r="C77" s="8" t="inlineStr">
        <is>
          <t>小香蕉：效果比例</t>
        </is>
      </c>
    </row>
    <row r="78">
      <c r="A78" s="6" t="inlineStr">
        <is>
          <t>firePatchDps</t>
        </is>
      </c>
      <c r="B78" s="7" t="n">
        <v>0.6</v>
      </c>
      <c r="C78" s="8" t="inlineStr">
        <is>
          <t>辣油泼地：每秒效果比例</t>
        </is>
      </c>
    </row>
    <row r="79">
      <c r="A79" s="6" t="inlineStr">
        <is>
          <t>infernoRadius</t>
        </is>
      </c>
      <c r="B79" s="7" t="n">
        <v>42</v>
      </c>
      <c r="C79" s="8" t="inlineStr">
        <is>
          <t>火锅底料：溅射半径</t>
        </is>
      </c>
    </row>
    <row r="80">
      <c r="A80" s="6" t="inlineStr">
        <is>
          <t>iceAgeFreeze</t>
        </is>
      </c>
      <c r="B80" s="7" t="n">
        <v>2</v>
      </c>
      <c r="C80" s="8" t="inlineStr">
        <is>
          <t>人工降雪：冻结时长（秒）</t>
        </is>
      </c>
    </row>
    <row r="81">
      <c r="A81" s="6" t="inlineStr">
        <is>
          <t>ricochetPct</t>
        </is>
      </c>
      <c r="B81" s="7" t="n">
        <v>0.5</v>
      </c>
      <c r="C81" s="8" t="inlineStr">
        <is>
          <t>弹跳鞋盒：效果比例</t>
        </is>
      </c>
    </row>
    <row r="82">
      <c r="A82" s="6" t="inlineStr">
        <is>
          <t>ricochetRange</t>
        </is>
      </c>
      <c r="B82" s="7" t="n">
        <v>120</v>
      </c>
      <c r="C82" s="8" t="inlineStr">
        <is>
          <t>弹跳鞋盒：弹跳距离</t>
        </is>
      </c>
    </row>
    <row r="83">
      <c r="A83" s="6" t="inlineStr">
        <is>
          <t>decapBossPct</t>
        </is>
      </c>
      <c r="B83" s="7" t="n">
        <v>0.15</v>
      </c>
      <c r="C83" s="8" t="inlineStr">
        <is>
          <t>神秘箱轰炸：扣 Boss 最大体力比例</t>
        </is>
      </c>
    </row>
    <row r="84">
      <c r="A84" s="6" t="inlineStr">
        <is>
          <t>decapMult</t>
        </is>
      </c>
      <c r="B84" s="7" t="n">
        <v>3</v>
      </c>
      <c r="C84" s="8" t="inlineStr">
        <is>
          <t>神秘箱轰炸：对非 Boss 倍率</t>
        </is>
      </c>
    </row>
    <row r="85">
      <c r="A85" s="6" t="inlineStr">
        <is>
          <t>teslaHop</t>
        </is>
      </c>
      <c r="B85" s="7" t="n">
        <v>70</v>
      </c>
      <c r="C85" s="8" t="inlineStr">
        <is>
          <t>广场舞音响：传播距离</t>
        </is>
      </c>
    </row>
    <row r="86">
      <c r="A86" s="6" t="inlineStr">
        <is>
          <t>blockTarget</t>
        </is>
      </c>
      <c r="B86" s="7" t="n">
        <v>16</v>
      </c>
      <c r="C86" s="8" t="inlineStr">
        <is>
          <t>挖矿：全网平均出块间隔（秒）</t>
        </is>
      </c>
    </row>
    <row r="87">
      <c r="A87" s="6" t="inlineStr">
        <is>
          <t>blockReward</t>
        </is>
      </c>
      <c r="B87" s="7" t="n">
        <v>5000</v>
      </c>
      <c r="C87" s="8" t="inlineStr">
        <is>
          <t>挖矿：每个区块奖励的聪</t>
        </is>
      </c>
    </row>
    <row r="88">
      <c r="A88" s="6" t="inlineStr">
        <is>
          <t>adjustEvery</t>
        </is>
      </c>
      <c r="B88" s="7" t="n">
        <v>3</v>
      </c>
      <c r="C88" s="8" t="inlineStr">
        <is>
          <t>挖矿：每多少个区块调整一次难度</t>
        </is>
      </c>
    </row>
    <row r="89">
      <c r="A89" s="6" t="inlineStr">
        <is>
          <t>netGrowth</t>
        </is>
      </c>
      <c r="B89" s="7" t="n">
        <v>0.15</v>
      </c>
      <c r="C89" s="8" t="inlineStr">
        <is>
          <t>挖矿：每次难度调整全网算力上涨比例</t>
        </is>
      </c>
    </row>
    <row r="90">
      <c r="A90" s="6" t="inlineStr">
        <is>
          <t>freeNet</t>
        </is>
      </c>
      <c r="B90" s="7" t="n">
        <v>3</v>
      </c>
      <c r="C90" s="8" t="inlineStr">
        <is>
          <t>挖矿：经典模式的全网初始算力</t>
        </is>
      </c>
    </row>
    <row r="91">
      <c r="A91" s="6" t="inlineStr">
        <is>
          <t>rerollSats</t>
        </is>
      </c>
      <c r="B91" s="7" t="n">
        <v>1500</v>
      </c>
      <c r="C91" s="8" t="inlineStr">
        <is>
          <t>区块奖励重抽一次花费的聪</t>
        </is>
      </c>
    </row>
    <row r="92">
      <c r="A92" s="6" t="inlineStr">
        <is>
          <t>padTrackGap</t>
        </is>
      </c>
      <c r="B92" s="7" t="n">
        <v>34</v>
      </c>
      <c r="C92" s="8" t="inlineStr">
        <is>
          <t>额外放置点：离跑道中心线的最小距离</t>
        </is>
      </c>
    </row>
    <row r="93">
      <c r="A93" s="6" t="inlineStr">
        <is>
          <t>padGap</t>
        </is>
      </c>
      <c r="B93" s="7" t="n">
        <v>32</v>
      </c>
      <c r="C93" s="8" t="inlineStr">
        <is>
          <t>额外放置点：离其他空位的最小距离</t>
        </is>
      </c>
    </row>
    <row r="94">
      <c r="A94" s="6" t="inlineStr">
        <is>
          <t>gridTrackGap</t>
        </is>
      </c>
      <c r="B94" s="7" t="n">
        <v>24</v>
      </c>
      <c r="C94" s="8" t="inlineStr">
        <is>
          <t>放置格子：格子中心离跑道中心线小于这个距离就算跑道，不能放装置</t>
        </is>
      </c>
    </row>
    <row r="95">
      <c r="A95" s="6" t="inlineStr">
        <is>
          <t>truckWet</t>
        </is>
      </c>
      <c r="B95" s="7" t="n">
        <v>300</v>
      </c>
      <c r="C95" s="8" t="inlineStr">
        <is>
          <t>成就「浇透全场」：用洒水器累计淋湿多少名跑者后解锁洒水车（跨局累计，每名跑者只算一次）</t>
        </is>
      </c>
    </row>
    <row r="96">
      <c r="A96" s="6" t="inlineStr">
        <is>
          <t>scoreKill</t>
        </is>
      </c>
      <c r="B96" s="7" t="n">
        <v>600</v>
      </c>
      <c r="C96" s="8" t="inlineStr">
        <is>
          <t>分数：劝退率权重</t>
        </is>
      </c>
    </row>
    <row r="97">
      <c r="A97" s="6" t="inlineStr">
        <is>
          <t>scoreLives</t>
        </is>
      </c>
      <c r="B97" s="7" t="n">
        <v>300</v>
      </c>
      <c r="C97" s="8" t="inlineStr">
        <is>
          <t>分数：剩余生命权重</t>
        </is>
      </c>
    </row>
    <row r="98">
      <c r="A98" s="6" t="inlineStr">
        <is>
          <t>scoreClean</t>
        </is>
      </c>
      <c r="B98" s="7" t="n">
        <v>100</v>
      </c>
      <c r="C98" s="8" t="inlineStr">
        <is>
          <t>分数：无漏怪波数权重</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X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6" customWidth="1" min="3" max="3"/>
    <col width="18" customWidth="1" min="4" max="4"/>
    <col width="10" customWidth="1" min="5" max="5"/>
    <col width="10" customWidth="1" min="6" max="6"/>
    <col width="12" customWidth="1" min="7" max="7"/>
    <col width="40" customWidth="1" min="8" max="8"/>
    <col width="40" customWidth="1" min="9" max="9"/>
    <col width="40"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0" customWidth="1" min="22" max="22"/>
    <col width="46" customWidth="1" min="23" max="23"/>
    <col width="12" customWidth="1" min="24" max="24"/>
  </cols>
  <sheetData>
    <row r="1" ht="30" customHeight="1">
      <c r="A1" s="4" t="inlineStr">
        <is>
          <t>id</t>
        </is>
      </c>
      <c r="B1" s="4" t="inlineStr">
        <is>
          <t>名称（中文）</t>
        </is>
      </c>
      <c r="C1" s="4" t="inlineStr">
        <is>
          <t>名称（English）</t>
        </is>
      </c>
      <c r="D1" s="4" t="inlineStr">
        <is>
          <t>名称（Français）</t>
        </is>
      </c>
      <c r="E1" s="4" t="inlineStr">
        <is>
          <t>简称（中文）</t>
        </is>
      </c>
      <c r="F1" s="4" t="inlineStr">
        <is>
          <t>简称（English）</t>
        </is>
      </c>
      <c r="G1" s="4" t="inlineStr">
        <is>
          <t>简称（Français）</t>
        </is>
      </c>
      <c r="H1" s="4" t="inlineStr">
        <is>
          <t>说明（中文）</t>
        </is>
      </c>
      <c r="I1" s="4" t="inlineStr">
        <is>
          <t>说明（English）</t>
        </is>
      </c>
      <c r="J1" s="4" t="inlineStr">
        <is>
          <t>说明（Français）</t>
        </is>
      </c>
      <c r="K1" s="4" t="inlineStr">
        <is>
          <t>放置价格</t>
        </is>
      </c>
      <c r="L1" s="4" t="inlineStr">
        <is>
          <t>效果</t>
        </is>
      </c>
      <c r="M1" s="4" t="inlineStr">
        <is>
          <t>出手间隔（秒）</t>
        </is>
      </c>
      <c r="N1" s="4" t="inlineStr">
        <is>
          <t>射程（999=全图）</t>
        </is>
      </c>
      <c r="O1" s="4" t="inlineStr">
        <is>
          <t>范围半径</t>
        </is>
      </c>
      <c r="P1" s="4" t="inlineStr">
        <is>
          <t>减速比例</t>
        </is>
      </c>
      <c r="Q1" s="4" t="inlineStr">
        <is>
          <t>湿滑持续（秒）</t>
        </is>
      </c>
      <c r="R1" s="4" t="inlineStr">
        <is>
          <t>传播人数</t>
        </is>
      </c>
      <c r="S1" s="4" t="inlineStr">
        <is>
          <t>传播衰减</t>
        </is>
      </c>
      <c r="T1" s="4" t="inlineStr">
        <is>
          <t>对耐力跑者效果</t>
        </is>
      </c>
      <c r="U1" s="4" t="inlineStr">
        <is>
          <t>对 Boss 效果</t>
        </is>
      </c>
      <c r="V1" s="4" t="inlineStr">
        <is>
          <t>颜色</t>
        </is>
      </c>
      <c r="W1" s="4" t="inlineStr">
        <is>
          <t>基础附加效果（写法同「升级」的 effect）</t>
        </is>
      </c>
      <c r="X1" s="4" t="inlineStr">
        <is>
          <t>占地（N × N 格，1 格 = 20）</t>
        </is>
      </c>
    </row>
    <row r="2">
      <c r="A2" s="5" t="inlineStr">
        <is>
          <t>id</t>
        </is>
      </c>
      <c r="B2" s="5" t="inlineStr">
        <is>
          <t>name_zh</t>
        </is>
      </c>
      <c r="C2" s="5" t="inlineStr">
        <is>
          <t>name_en</t>
        </is>
      </c>
      <c r="D2" s="5" t="inlineStr">
        <is>
          <t>name_fr</t>
        </is>
      </c>
      <c r="E2" s="5" t="inlineStr">
        <is>
          <t>short_zh</t>
        </is>
      </c>
      <c r="F2" s="5" t="inlineStr">
        <is>
          <t>short_en</t>
        </is>
      </c>
      <c r="G2" s="5" t="inlineStr">
        <is>
          <t>short_fr</t>
        </is>
      </c>
      <c r="H2" s="5" t="inlineStr">
        <is>
          <t>desc_zh</t>
        </is>
      </c>
      <c r="I2" s="5" t="inlineStr">
        <is>
          <t>desc_en</t>
        </is>
      </c>
      <c r="J2" s="5" t="inlineStr">
        <is>
          <t>desc_fr</t>
        </is>
      </c>
      <c r="K2" s="5" t="inlineStr">
        <is>
          <t>cost</t>
        </is>
      </c>
      <c r="L2" s="5" t="inlineStr">
        <is>
          <t>dmg</t>
        </is>
      </c>
      <c r="M2" s="5" t="inlineStr">
        <is>
          <t>rate</t>
        </is>
      </c>
      <c r="N2" s="5" t="inlineStr">
        <is>
          <t>range</t>
        </is>
      </c>
      <c r="O2" s="5" t="inlineStr">
        <is>
          <t>rad</t>
        </is>
      </c>
      <c r="P2" s="5" t="inlineStr">
        <is>
          <t>slow</t>
        </is>
      </c>
      <c r="Q2" s="5" t="inlineStr">
        <is>
          <t>slowDur</t>
        </is>
      </c>
      <c r="R2" s="5" t="inlineStr">
        <is>
          <t>chain</t>
        </is>
      </c>
      <c r="S2" s="5" t="inlineStr">
        <is>
          <t>decay</t>
        </is>
      </c>
      <c r="T2" s="5" t="inlineStr">
        <is>
          <t>armor</t>
        </is>
      </c>
      <c r="U2" s="5" t="inlineStr">
        <is>
          <t>bossMul</t>
        </is>
      </c>
      <c r="V2" s="5" t="inlineStr">
        <is>
          <t>color</t>
        </is>
      </c>
      <c r="W2" s="5" t="inlineStr">
        <is>
          <t>extra</t>
        </is>
      </c>
      <c r="X2" s="5" t="inlineStr">
        <is>
          <t>size</t>
        </is>
      </c>
    </row>
    <row r="3">
      <c r="A3" s="6" t="inlineStr">
        <is>
          <t>dart</t>
        </is>
      </c>
      <c r="B3" s="8" t="inlineStr">
        <is>
          <t>易拉罐投手</t>
        </is>
      </c>
      <c r="C3" s="8" t="inlineStr">
        <is>
          <t>Can Thrower</t>
        </is>
      </c>
      <c r="D3" s="8" t="inlineStr">
        <is>
          <t>Lanceur de canettes</t>
        </is>
      </c>
      <c r="E3" s="8" t="inlineStr">
        <is>
          <t>易拉罐</t>
        </is>
      </c>
      <c r="F3" s="8" t="inlineStr">
        <is>
          <t>Can</t>
        </is>
      </c>
      <c r="G3" s="8" t="inlineStr">
        <is>
          <t>Canette</t>
        </is>
      </c>
      <c r="H3" s="8" t="inlineStr">
        <is>
          <t>单体投掷易拉罐，三条路线都只打一个目标；对耐力跑者只有 25% 效果</t>
        </is>
      </c>
      <c r="I3" s="8" t="inlineStr">
        <is>
          <t>Throws cans at one runner at a time on every path; only 25% vs endurance runners</t>
        </is>
      </c>
      <c r="J3" s="8" t="inlineStr">
        <is>
          <t>Lance des canettes sur un seul coureur, quelle que soit la voie ; 25 % seulement contre les endurants</t>
        </is>
      </c>
      <c r="K3" s="7" t="n">
        <v>100</v>
      </c>
      <c r="L3" s="7" t="n">
        <v>1</v>
      </c>
      <c r="M3" s="7" t="n">
        <v>0.5</v>
      </c>
      <c r="N3" s="7" t="n">
        <v>95</v>
      </c>
      <c r="O3" s="7" t="n">
        <v>0</v>
      </c>
      <c r="P3" s="7" t="n">
        <v>0</v>
      </c>
      <c r="Q3" s="7" t="n">
        <v>0</v>
      </c>
      <c r="R3" s="7" t="n">
        <v>0</v>
      </c>
      <c r="S3" s="7" t="n">
        <v>1</v>
      </c>
      <c r="T3" s="7" t="n">
        <v>0.25</v>
      </c>
      <c r="U3" s="7" t="n">
        <v>0.6</v>
      </c>
      <c r="V3" s="8" t="inlineStr">
        <is>
          <t>#ff6b6b</t>
        </is>
      </c>
      <c r="W3" s="7" t="inlineStr">
        <is>
          <t>shots=1</t>
        </is>
      </c>
      <c r="X3" s="7" t="n">
        <v>2</v>
      </c>
    </row>
    <row r="4">
      <c r="A4" s="6" t="inlineStr">
        <is>
          <t>bomb</t>
        </is>
      </c>
      <c r="B4" s="8" t="inlineStr">
        <is>
          <t>香蕉皮投手</t>
        </is>
      </c>
      <c r="C4" s="8" t="inlineStr">
        <is>
          <t>Banana Peeler</t>
        </is>
      </c>
      <c r="D4" s="8" t="inlineStr">
        <is>
          <t>Lance-peaux</t>
        </is>
      </c>
      <c r="E4" s="8" t="inlineStr">
        <is>
          <t>香蕉皮</t>
        </is>
      </c>
      <c r="F4" s="8" t="inlineStr">
        <is>
          <t>Banana</t>
        </is>
      </c>
      <c r="G4" s="8" t="inlineStr">
        <is>
          <t>Banane</t>
        </is>
      </c>
      <c r="H4" s="8" t="inlineStr">
        <is>
          <t>往跑道上扔香蕉皮陷阱，踩到的几个人一起滑倒；触发一次就失效</t>
        </is>
      </c>
      <c r="I4" s="8" t="inlineStr">
        <is>
          <t>Tosses banana-peel traps onto the track; the runners who step on one slip together, then the peel is spent</t>
        </is>
      </c>
      <c r="J4" s="8" t="inlineStr">
        <is>
          <t>Lance des pièges en peau de banane sur la piste ; ceux qui marchent dessus glissent ensemble, puis la peau disparaît</t>
        </is>
      </c>
      <c r="K4" s="7" t="n">
        <v>160</v>
      </c>
      <c r="L4" s="7" t="n">
        <v>3</v>
      </c>
      <c r="M4" s="7" t="n">
        <v>1.2</v>
      </c>
      <c r="N4" s="7" t="n">
        <v>90</v>
      </c>
      <c r="O4" s="7" t="n">
        <v>20</v>
      </c>
      <c r="P4" s="7" t="n">
        <v>0</v>
      </c>
      <c r="Q4" s="7" t="n">
        <v>0</v>
      </c>
      <c r="R4" s="7" t="n">
        <v>0</v>
      </c>
      <c r="S4" s="7" t="n">
        <v>1</v>
      </c>
      <c r="T4" s="7" t="n">
        <v>1</v>
      </c>
      <c r="U4" s="7" t="n">
        <v>1</v>
      </c>
      <c r="V4" s="8" t="inlineStr">
        <is>
          <t>#ffd84a</t>
        </is>
      </c>
      <c r="W4" s="7" t="inlineStr">
        <is>
          <t>hitCap=4; slip=0.6; peelMax=4; peelLife=8; bombs=1; spread=14</t>
        </is>
      </c>
      <c r="X4" s="7" t="n">
        <v>2</v>
      </c>
    </row>
    <row r="5">
      <c r="A5" s="6" t="inlineStr">
        <is>
          <t>frost</t>
        </is>
      </c>
      <c r="B5" s="8" t="inlineStr">
        <is>
          <t>洒水器</t>
        </is>
      </c>
      <c r="C5" s="8" t="inlineStr">
        <is>
          <t>Sprinkler</t>
        </is>
      </c>
      <c r="D5" s="8" t="inlineStr">
        <is>
          <t>Arroseur</t>
        </is>
      </c>
      <c r="E5" s="8" t="inlineStr">
        <is>
          <t>洒水器</t>
        </is>
      </c>
      <c r="F5" s="8" t="inlineStr">
        <is>
          <t>Sprinkler</t>
        </is>
      </c>
      <c r="G5" s="8" t="inlineStr">
        <is>
          <t>Arroseur</t>
        </is>
      </c>
      <c r="H5" s="8" t="inlineStr">
        <is>
          <t>持续喷水：范围内的跑者被淋湿、减速</t>
        </is>
      </c>
      <c r="I5" s="8" t="inlineStr">
        <is>
          <t>Keeps spraying: runners in range get wet and slowed</t>
        </is>
      </c>
      <c r="J5" s="8" t="inlineStr">
        <is>
          <t>Arrose en continu : les coureurs à portée sont mouillés et ralentis</t>
        </is>
      </c>
      <c r="K5" s="7" t="n">
        <v>120</v>
      </c>
      <c r="L5" s="7" t="n">
        <v>0.5</v>
      </c>
      <c r="M5" s="7" t="n">
        <v>1.1</v>
      </c>
      <c r="N5" s="7" t="n">
        <v>72</v>
      </c>
      <c r="O5" s="7" t="n">
        <v>0</v>
      </c>
      <c r="P5" s="7" t="n">
        <v>0.3</v>
      </c>
      <c r="Q5" s="7" t="n">
        <v>1.5</v>
      </c>
      <c r="R5" s="7" t="n">
        <v>0</v>
      </c>
      <c r="S5" s="7" t="n">
        <v>1</v>
      </c>
      <c r="T5" s="7" t="n">
        <v>0.5</v>
      </c>
      <c r="U5" s="7" t="n">
        <v>1</v>
      </c>
      <c r="V5" s="8" t="inlineStr">
        <is>
          <t>#6fc3ff</t>
        </is>
      </c>
      <c r="W5" s="7" t="inlineStr">
        <is>
          <t>frostNeed=4; freezeCap=99</t>
        </is>
      </c>
      <c r="X5" s="7" t="n">
        <v>2</v>
      </c>
    </row>
    <row r="6">
      <c r="A6" s="6" t="inlineStr">
        <is>
          <t>truck</t>
        </is>
      </c>
      <c r="B6" s="8" t="inlineStr">
        <is>
          <t>洒水车</t>
        </is>
      </c>
      <c r="C6" s="8" t="inlineStr">
        <is>
          <t>Truck</t>
        </is>
      </c>
      <c r="D6" s="8" t="inlineStr">
        <is>
          <t>Camion</t>
        </is>
      </c>
      <c r="E6" s="8" t="inlineStr">
        <is>
          <t>洒水车</t>
        </is>
      </c>
      <c r="F6" s="8" t="inlineStr">
        <is>
          <t>Truck</t>
        </is>
      </c>
      <c r="G6" s="8" t="inlineStr">
        <is>
          <t>Camion</t>
        </is>
      </c>
      <c r="H6" s="8" t="inlineStr">
        <is>
          <t>会自己开的洒水车：在消防栓周围一圈里追着跑者开，喷到的跑者被淋湿、减速。成就「浇透全场」解锁</t>
        </is>
      </c>
      <c r="I6" s="8" t="inlineStr">
        <is>
          <t>Drives itself around its hydrant, chasing runners; everyone it sprays gets wet and slowed. Unlocked by the “Soak Them All” achievement</t>
        </is>
      </c>
      <c r="J6" s="8" t="inlineStr">
        <is>
          <t>Roule tout seul autour de sa borne à la poursuite des coureurs ; tous ceux qu’il arrose sont trempés et ralentis. Débloqué par le succès « Tout le monde trempé »</t>
        </is>
      </c>
      <c r="K6" s="7" t="n">
        <v>200</v>
      </c>
      <c r="L6" s="7" t="n">
        <v>0.6</v>
      </c>
      <c r="M6" s="7" t="n">
        <v>1</v>
      </c>
      <c r="N6" s="7" t="n">
        <v>58</v>
      </c>
      <c r="O6" s="7" t="n">
        <v>0</v>
      </c>
      <c r="P6" s="7" t="n">
        <v>0.32</v>
      </c>
      <c r="Q6" s="7" t="n">
        <v>1.5</v>
      </c>
      <c r="R6" s="7" t="n">
        <v>0</v>
      </c>
      <c r="S6" s="7" t="n">
        <v>1</v>
      </c>
      <c r="T6" s="7" t="n">
        <v>0.5</v>
      </c>
      <c r="U6" s="7" t="n">
        <v>1</v>
      </c>
      <c r="V6" s="8" t="inlineStr">
        <is>
          <t>#3ec7c0</t>
        </is>
      </c>
      <c r="W6" s="7" t="inlineStr">
        <is>
          <t>frostNeed=4; freezeCap=99; patrol=60; drive=65</t>
        </is>
      </c>
      <c r="X6" s="7" t="n">
        <v>2</v>
      </c>
    </row>
    <row r="7">
      <c r="A7" s="6" t="inlineStr">
        <is>
          <t>sniper</t>
        </is>
      </c>
      <c r="B7" s="8" t="inlineStr">
        <is>
          <t>鞋盒无人机</t>
        </is>
      </c>
      <c r="C7" s="8" t="inlineStr">
        <is>
          <t>Shoebox Drone</t>
        </is>
      </c>
      <c r="D7" s="8" t="inlineStr">
        <is>
          <t>Drone à boîtes</t>
        </is>
      </c>
      <c r="E7" s="8" t="inlineStr">
        <is>
          <t>无人机</t>
        </is>
      </c>
      <c r="F7" s="8" t="inlineStr">
        <is>
          <t>Drone</t>
        </is>
      </c>
      <c r="G7" s="8" t="inlineStr">
        <is>
          <t>Drone</t>
        </is>
      </c>
      <c r="H7" s="8" t="inlineStr">
        <is>
          <t>全图支援：点它再点地图，指定投递区；飞过去、投箱、返航都要时间</t>
        </is>
      </c>
      <c r="I7" s="8" t="inlineStr">
        <is>
          <t>Map-wide support: tap it, then tap the map to set a drop zone; flying out, dropping and returning take time</t>
        </is>
      </c>
      <c r="J7" s="8" t="inlineStr">
        <is>
          <t>Soutien sur toute la carte : touche-le puis la carte pour choisir une zone de largage ; aller, larguer et revenir prend du temps</t>
        </is>
      </c>
      <c r="K7" s="7" t="n">
        <v>180</v>
      </c>
      <c r="L7" s="7" t="n">
        <v>6</v>
      </c>
      <c r="M7" s="7" t="n">
        <v>2.4</v>
      </c>
      <c r="N7" s="7" t="n">
        <v>999</v>
      </c>
      <c r="O7" s="7" t="n">
        <v>16</v>
      </c>
      <c r="P7" s="7" t="n">
        <v>0</v>
      </c>
      <c r="Q7" s="7" t="n">
        <v>0</v>
      </c>
      <c r="R7" s="7" t="n">
        <v>0</v>
      </c>
      <c r="S7" s="7" t="n">
        <v>1</v>
      </c>
      <c r="T7" s="7" t="n">
        <v>1</v>
      </c>
      <c r="U7" s="7" t="n">
        <v>1</v>
      </c>
      <c r="V7" s="8" t="inlineStr">
        <is>
          <t>#ff9d7a</t>
        </is>
      </c>
      <c r="W7" s="7" t="inlineStr">
        <is>
          <t>aimR=46; load=1</t>
        </is>
      </c>
      <c r="X7" s="7" t="n">
        <v>2</v>
      </c>
    </row>
    <row r="8">
      <c r="A8" s="6" t="inlineStr">
        <is>
          <t>tesla</t>
        </is>
      </c>
      <c r="B8" s="8" t="inlineStr">
        <is>
          <t>广场舞音响</t>
        </is>
      </c>
      <c r="C8" s="8" t="inlineStr">
        <is>
          <t>Dance Speaker</t>
        </is>
      </c>
      <c r="D8" s="8" t="inlineStr">
        <is>
          <t>Enceinte de danse</t>
        </is>
      </c>
      <c r="E8" s="8" t="inlineStr">
        <is>
          <t>音响</t>
        </is>
      </c>
      <c r="F8" s="8" t="inlineStr">
        <is>
          <t>Speaker</t>
        </is>
      </c>
      <c r="G8" s="8" t="inlineStr">
        <is>
          <t>Enceinte</t>
        </is>
      </c>
      <c r="H8" s="8" t="inlineStr">
        <is>
          <t>洗脑神曲人传人：每次传给好几个跑者，让他们发懵；同一个人每次只中一次</t>
        </is>
      </c>
      <c r="I8" s="8" t="inlineStr">
        <is>
          <t>An earworm passed from runner to runner: each song hits several and leaves them dizzy, once per runner per song</t>
        </is>
      </c>
      <c r="J8" s="8" t="inlineStr">
        <is>
          <t>Un ver d’oreille transmis de coureur en coureur : chaque morceau en touche plusieurs et les étourdit, une fois par coureur</t>
        </is>
      </c>
      <c r="K8" s="7" t="n">
        <v>150</v>
      </c>
      <c r="L8" s="7" t="n">
        <v>2</v>
      </c>
      <c r="M8" s="7" t="n">
        <v>0.9</v>
      </c>
      <c r="N8" s="7" t="n">
        <v>88</v>
      </c>
      <c r="O8" s="7" t="n">
        <v>0</v>
      </c>
      <c r="P8" s="7" t="n">
        <v>0</v>
      </c>
      <c r="Q8" s="7" t="n">
        <v>0</v>
      </c>
      <c r="R8" s="7" t="n">
        <v>3</v>
      </c>
      <c r="S8" s="7" t="n">
        <v>0.85</v>
      </c>
      <c r="T8" s="7" t="n">
        <v>0.5</v>
      </c>
      <c r="U8" s="7" t="n">
        <v>1</v>
      </c>
      <c r="V8" s="8" t="inlineStr">
        <is>
          <t>#ff8fd0</t>
        </is>
      </c>
      <c r="W8" s="7" t="inlineStr">
        <is>
          <t>hop=70; dizzyDur=1.6</t>
        </is>
      </c>
      <c r="X8" s="7" t="n">
        <v>2</v>
      </c>
    </row>
    <row r="9">
      <c r="A9" s="6" t="inlineStr">
        <is>
          <t>lure</t>
        </is>
      </c>
      <c r="B9" s="8" t="inlineStr">
        <is>
          <t>休闲诱惑站</t>
        </is>
      </c>
      <c r="C9" s="8" t="inlineStr">
        <is>
          <t>Chill Spot</t>
        </is>
      </c>
      <c r="D9" s="8" t="inlineStr">
        <is>
          <t>Coin détente</t>
        </is>
      </c>
      <c r="E9" s="8" t="inlineStr">
        <is>
          <t>诱惑站</t>
        </is>
      </c>
      <c r="F9" s="8" t="inlineStr">
        <is>
          <t>Chill</t>
        </is>
      </c>
      <c r="G9" s="8" t="inlineStr">
        <is>
          <t>Détente</t>
        </is>
      </c>
      <c r="H9" s="8" t="inlineStr">
        <is>
          <t>用美食、沙发和限量球鞋让跑者停下来；每人每站只上当一次，对耐力跑者、巨鲸和 Boss 无效</t>
        </is>
      </c>
      <c r="I9" s="8" t="inlineStr">
        <is>
          <t>Food, sofas and limited sneakers make runners stop; each runner falls for each spot once; no effect on endurance runners, whales or bosses</t>
        </is>
      </c>
      <c r="J9" s="8" t="inlineStr">
        <is>
          <t>Bouffe, canapés et baskets limitées arrêtent les coureurs ; chacun ne s’y fait prendre qu’une fois par coin ; sans effet sur endurants, baleines et boss</t>
        </is>
      </c>
      <c r="K9" s="7" t="n">
        <v>130</v>
      </c>
      <c r="L9" s="7" t="n">
        <v>0</v>
      </c>
      <c r="M9" s="7" t="n">
        <v>2</v>
      </c>
      <c r="N9" s="7" t="n">
        <v>75</v>
      </c>
      <c r="O9" s="7" t="n">
        <v>0</v>
      </c>
      <c r="P9" s="7" t="n">
        <v>0</v>
      </c>
      <c r="Q9" s="7" t="n">
        <v>0</v>
      </c>
      <c r="R9" s="7" t="n">
        <v>0</v>
      </c>
      <c r="S9" s="7" t="n">
        <v>1</v>
      </c>
      <c r="T9" s="7" t="n">
        <v>1</v>
      </c>
      <c r="U9" s="7" t="n">
        <v>1</v>
      </c>
      <c r="V9" s="8" t="inlineStr">
        <is>
          <t>#ff9a3c</t>
        </is>
      </c>
      <c r="W9" s="7" t="inlineStr">
        <is>
          <t>cap=3; stay=1.5</t>
        </is>
      </c>
      <c r="X9" s="7" t="n">
        <v>3</v>
      </c>
    </row>
    <row r="10">
      <c r="A10" s="6" t="inlineStr">
        <is>
          <t>miner</t>
        </is>
      </c>
      <c r="B10" s="8" t="inlineStr">
        <is>
          <t>矿机</t>
        </is>
      </c>
      <c r="C10" s="8" t="inlineStr">
        <is>
          <t>Miner</t>
        </is>
      </c>
      <c r="D10" s="8" t="inlineStr">
        <is>
          <t>Mineur</t>
        </is>
      </c>
      <c r="E10" s="8" t="inlineStr">
        <is>
          <t>矿机</t>
        </is>
      </c>
      <c r="F10" s="8" t="inlineStr">
        <is>
          <t>Miner</t>
        </is>
      </c>
      <c r="G10" s="8" t="inlineStr">
        <is>
          <t>Mineur</t>
        </is>
      </c>
      <c r="H10" s="8" t="inlineStr">
        <is>
          <t>不攻击，比赛中不停算题挖区块：挖到区块得聪和一次三选一</t>
        </is>
      </c>
      <c r="I10" s="8" t="inlineStr">
        <is>
          <t>Doesn’t attack; keeps hashing during the race. Win a block for sats and a pick-one-of-three</t>
        </is>
      </c>
      <c r="J10" s="8" t="inlineStr">
        <is>
          <t>N’attaque pas ; calcule pendant la course. Bloc gagné : des sats et un choix parmi trois</t>
        </is>
      </c>
      <c r="K10" s="7" t="n">
        <v>120</v>
      </c>
      <c r="L10" s="7" t="n">
        <v>0</v>
      </c>
      <c r="M10" s="7" t="n">
        <v>1</v>
      </c>
      <c r="N10" s="7" t="n">
        <v>70</v>
      </c>
      <c r="O10" s="7" t="n">
        <v>0</v>
      </c>
      <c r="P10" s="7" t="n">
        <v>0</v>
      </c>
      <c r="Q10" s="7" t="n">
        <v>0</v>
      </c>
      <c r="R10" s="7" t="n">
        <v>0</v>
      </c>
      <c r="S10" s="7" t="n">
        <v>1</v>
      </c>
      <c r="T10" s="7" t="n">
        <v>1</v>
      </c>
      <c r="U10" s="7" t="n">
        <v>1</v>
      </c>
      <c r="V10" s="8" t="inlineStr">
        <is>
          <t>#f7931a</t>
        </is>
      </c>
      <c r="W10" s="7" t="inlineStr"/>
      <c r="X10" s="7" t="n">
        <v>3</v>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6"/>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7" customWidth="1" min="2" max="2"/>
    <col width="16" customWidth="1" min="3" max="3"/>
    <col width="20" customWidth="1" min="4" max="4"/>
    <col width="24" customWidth="1" min="5" max="5"/>
  </cols>
  <sheetData>
    <row r="1" ht="30" customHeight="1">
      <c r="A1" s="4" t="inlineStr">
        <is>
          <t>装置 id</t>
        </is>
      </c>
      <c r="B1" s="4" t="inlineStr">
        <is>
          <t>路线</t>
        </is>
      </c>
      <c r="C1" s="4" t="inlineStr">
        <is>
          <t>路线名称（中文）</t>
        </is>
      </c>
      <c r="D1" s="4" t="inlineStr">
        <is>
          <t>路线名称（English）</t>
        </is>
      </c>
      <c r="E1" s="4" t="inlineStr">
        <is>
          <t>路线名称（Français）</t>
        </is>
      </c>
    </row>
    <row r="2">
      <c r="A2" s="5" t="inlineStr">
        <is>
          <t>tower</t>
        </is>
      </c>
      <c r="B2" s="5" t="inlineStr">
        <is>
          <t>path</t>
        </is>
      </c>
      <c r="C2" s="5" t="inlineStr">
        <is>
          <t>name_zh</t>
        </is>
      </c>
      <c r="D2" s="5" t="inlineStr">
        <is>
          <t>name_en</t>
        </is>
      </c>
      <c r="E2" s="5" t="inlineStr">
        <is>
          <t>name_fr</t>
        </is>
      </c>
    </row>
    <row r="3">
      <c r="A3" s="6" t="inlineStr">
        <is>
          <t>dart</t>
        </is>
      </c>
      <c r="B3" s="6" t="n">
        <v>1</v>
      </c>
      <c r="C3" s="8" t="inlineStr">
        <is>
          <t>重罐点名</t>
        </is>
      </c>
      <c r="D3" s="8" t="inlineStr">
        <is>
          <t>Heavy Can</t>
        </is>
      </c>
      <c r="E3" s="8" t="inlineStr">
        <is>
          <t>Canette lourde</t>
        </is>
      </c>
    </row>
    <row r="4">
      <c r="A4" s="6" t="inlineStr">
        <is>
          <t>dart</t>
        </is>
      </c>
      <c r="B4" s="6" t="n">
        <v>2</v>
      </c>
      <c r="C4" s="8" t="inlineStr">
        <is>
          <t>连罐速投</t>
        </is>
      </c>
      <c r="D4" s="8" t="inlineStr">
        <is>
          <t>Rapid Cans</t>
        </is>
      </c>
      <c r="E4" s="8" t="inlineStr">
        <is>
          <t>Canettes rapides</t>
        </is>
      </c>
    </row>
    <row r="5">
      <c r="A5" s="6" t="inlineStr">
        <is>
          <t>dart</t>
        </is>
      </c>
      <c r="B5" s="6" t="n">
        <v>3</v>
      </c>
      <c r="C5" s="8" t="inlineStr">
        <is>
          <t>弱点点名</t>
        </is>
      </c>
      <c r="D5" s="8" t="inlineStr">
        <is>
          <t>Weak Spot</t>
        </is>
      </c>
      <c r="E5" s="8" t="inlineStr">
        <is>
          <t>Point faible</t>
        </is>
      </c>
    </row>
    <row r="6">
      <c r="A6" s="6" t="inlineStr">
        <is>
          <t>bomb</t>
        </is>
      </c>
      <c r="B6" s="6" t="n">
        <v>1</v>
      </c>
      <c r="C6" s="8" t="inlineStr">
        <is>
          <t>大片撒皮</t>
        </is>
      </c>
      <c r="D6" s="8" t="inlineStr">
        <is>
          <t>Wide Peels</t>
        </is>
      </c>
      <c r="E6" s="8" t="inlineStr">
        <is>
          <t>Grandes peaux</t>
        </is>
      </c>
    </row>
    <row r="7">
      <c r="A7" s="6" t="inlineStr">
        <is>
          <t>bomb</t>
        </is>
      </c>
      <c r="B7" s="6" t="n">
        <v>2</v>
      </c>
      <c r="C7" s="8" t="inlineStr">
        <is>
          <t>滑行连撞</t>
        </is>
      </c>
      <c r="D7" s="8" t="inlineStr">
        <is>
          <t>Slide &amp; Bowl</t>
        </is>
      </c>
      <c r="E7" s="8" t="inlineStr">
        <is>
          <t>Glisse et quilles</t>
        </is>
      </c>
    </row>
    <row r="8">
      <c r="A8" s="6" t="inlineStr">
        <is>
          <t>bomb</t>
        </is>
      </c>
      <c r="B8" s="6" t="n">
        <v>3</v>
      </c>
      <c r="C8" s="8" t="inlineStr">
        <is>
          <t>预埋皮阵</t>
        </is>
      </c>
      <c r="D8" s="8" t="inlineStr">
        <is>
          <t>Peel Mines</t>
        </is>
      </c>
      <c r="E8" s="8" t="inlineStr">
        <is>
          <t>Mines de peaux</t>
        </is>
      </c>
    </row>
    <row r="9">
      <c r="A9" s="6" t="inlineStr">
        <is>
          <t>frost</t>
        </is>
      </c>
      <c r="B9" s="6" t="n">
        <v>1</v>
      </c>
      <c r="C9" s="8" t="inlineStr">
        <is>
          <t>喷淋湿地</t>
        </is>
      </c>
      <c r="D9" s="8" t="inlineStr">
        <is>
          <t>Soak Zone</t>
        </is>
      </c>
      <c r="E9" s="8" t="inlineStr">
        <is>
          <t>Zone détrempée</t>
        </is>
      </c>
    </row>
    <row r="10">
      <c r="A10" s="6" t="inlineStr">
        <is>
          <t>frost</t>
        </is>
      </c>
      <c r="B10" s="6" t="n">
        <v>2</v>
      </c>
      <c r="C10" s="8" t="inlineStr">
        <is>
          <t>寒霜喷头</t>
        </is>
      </c>
      <c r="D10" s="8" t="inlineStr">
        <is>
          <t>Frost Head</t>
        </is>
      </c>
      <c r="E10" s="8" t="inlineStr">
        <is>
          <t>Tête givrante</t>
        </is>
      </c>
    </row>
    <row r="11">
      <c r="A11" s="6" t="inlineStr">
        <is>
          <t>frost</t>
        </is>
      </c>
      <c r="B11" s="6" t="n">
        <v>3</v>
      </c>
      <c r="C11" s="8" t="inlineStr">
        <is>
          <t>高压水柱</t>
        </is>
      </c>
      <c r="D11" s="8" t="inlineStr">
        <is>
          <t>Power Jet</t>
        </is>
      </c>
      <c r="E11" s="8" t="inlineStr">
        <is>
          <t>Jet puissant</t>
        </is>
      </c>
    </row>
    <row r="12">
      <c r="A12" s="6" t="inlineStr">
        <is>
          <t>truck</t>
        </is>
      </c>
      <c r="B12" s="6" t="n">
        <v>1</v>
      </c>
      <c r="C12" s="8" t="inlineStr">
        <is>
          <t>巡街</t>
        </is>
      </c>
      <c r="D12" s="8" t="inlineStr">
        <is>
          <t>Street Patrol</t>
        </is>
      </c>
      <c r="E12" s="8" t="inlineStr">
        <is>
          <t>Patrouille</t>
        </is>
      </c>
    </row>
    <row r="13">
      <c r="A13" s="6" t="inlineStr">
        <is>
          <t>truck</t>
        </is>
      </c>
      <c r="B13" s="6" t="n">
        <v>2</v>
      </c>
      <c r="C13" s="8" t="inlineStr">
        <is>
          <t>冷链罐车</t>
        </is>
      </c>
      <c r="D13" s="8" t="inlineStr">
        <is>
          <t>Cold Chain</t>
        </is>
      </c>
      <c r="E13" s="8" t="inlineStr">
        <is>
          <t>Chaîne du froid</t>
        </is>
      </c>
    </row>
    <row r="14">
      <c r="A14" s="6" t="inlineStr">
        <is>
          <t>truck</t>
        </is>
      </c>
      <c r="B14" s="6" t="n">
        <v>3</v>
      </c>
      <c r="C14" s="8" t="inlineStr">
        <is>
          <t>高压水炮</t>
        </is>
      </c>
      <c r="D14" s="8" t="inlineStr">
        <is>
          <t>Water Cannon</t>
        </is>
      </c>
      <c r="E14" s="8" t="inlineStr">
        <is>
          <t>Canon à eau</t>
        </is>
      </c>
    </row>
    <row r="15">
      <c r="A15" s="6" t="inlineStr">
        <is>
          <t>sniper</t>
        </is>
      </c>
      <c r="B15" s="6" t="n">
        <v>1</v>
      </c>
      <c r="C15" s="8" t="inlineStr">
        <is>
          <t>精准重箱</t>
        </is>
      </c>
      <c r="D15" s="8" t="inlineStr">
        <is>
          <t>Precision Drop</t>
        </is>
      </c>
      <c r="E15" s="8" t="inlineStr">
        <is>
          <t>Largage précis</t>
        </is>
      </c>
    </row>
    <row r="16">
      <c r="A16" s="6" t="inlineStr">
        <is>
          <t>sniper</t>
        </is>
      </c>
      <c r="B16" s="6" t="n">
        <v>2</v>
      </c>
      <c r="C16" s="8" t="inlineStr">
        <is>
          <t>批量配送</t>
        </is>
      </c>
      <c r="D16" s="8" t="inlineStr">
        <is>
          <t>Bulk Delivery</t>
        </is>
      </c>
      <c r="E16" s="8" t="inlineStr">
        <is>
          <t>Livraison en gros</t>
        </is>
      </c>
    </row>
    <row r="17">
      <c r="A17" s="6" t="inlineStr">
        <is>
          <t>sniper</t>
        </is>
      </c>
      <c r="B17" s="6" t="n">
        <v>3</v>
      </c>
      <c r="C17" s="8" t="inlineStr">
        <is>
          <t>应急后勤</t>
        </is>
      </c>
      <c r="D17" s="8" t="inlineStr">
        <is>
          <t>Field Logistics</t>
        </is>
      </c>
      <c r="E17" s="8" t="inlineStr">
        <is>
          <t>Logistique</t>
        </is>
      </c>
    </row>
    <row r="18">
      <c r="A18" s="6" t="inlineStr">
        <is>
          <t>tesla</t>
        </is>
      </c>
      <c r="B18" s="6" t="n">
        <v>1</v>
      </c>
      <c r="C18" s="8" t="inlineStr">
        <is>
          <t>神曲接力</t>
        </is>
      </c>
      <c r="D18" s="8" t="inlineStr">
        <is>
          <t>Song Relay</t>
        </is>
      </c>
      <c r="E18" s="8" t="inlineStr">
        <is>
          <t>Relais musical</t>
        </is>
      </c>
    </row>
    <row r="19">
      <c r="A19" s="6" t="inlineStr">
        <is>
          <t>tesla</t>
        </is>
      </c>
      <c r="B19" s="6" t="n">
        <v>2</v>
      </c>
      <c r="C19" s="8" t="inlineStr">
        <is>
          <t>重低音共振</t>
        </is>
      </c>
      <c r="D19" s="8" t="inlineStr">
        <is>
          <t>Bass Resonance</t>
        </is>
      </c>
      <c r="E19" s="8" t="inlineStr">
        <is>
          <t>Résonance</t>
        </is>
      </c>
    </row>
    <row r="20">
      <c r="A20" s="6" t="inlineStr">
        <is>
          <t>tesla</t>
        </is>
      </c>
      <c r="B20" s="6" t="n">
        <v>3</v>
      </c>
      <c r="C20" s="8" t="inlineStr">
        <is>
          <t>耳虫续播</t>
        </is>
      </c>
      <c r="D20" s="8" t="inlineStr">
        <is>
          <t>Earworm</t>
        </is>
      </c>
      <c r="E20" s="8" t="inlineStr">
        <is>
          <t>Ver d’oreille</t>
        </is>
      </c>
    </row>
    <row r="21">
      <c r="A21" s="6" t="inlineStr">
        <is>
          <t>lure</t>
        </is>
      </c>
      <c r="B21" s="6" t="n">
        <v>1</v>
      </c>
      <c r="C21" s="8" t="inlineStr">
        <is>
          <t>美食飘香</t>
        </is>
      </c>
      <c r="D21" s="8" t="inlineStr">
        <is>
          <t>Food Stall</t>
        </is>
      </c>
      <c r="E21" s="8" t="inlineStr">
        <is>
          <t>Stand de bouffe</t>
        </is>
      </c>
    </row>
    <row r="22">
      <c r="A22" s="6" t="inlineStr">
        <is>
          <t>lure</t>
        </is>
      </c>
      <c r="B22" s="6" t="n">
        <v>2</v>
      </c>
      <c r="C22" s="8" t="inlineStr">
        <is>
          <t>舒适休息</t>
        </is>
      </c>
      <c r="D22" s="8" t="inlineStr">
        <is>
          <t>Sofa</t>
        </is>
      </c>
      <c r="E22" s="8" t="inlineStr">
        <is>
          <t>Canapé</t>
        </is>
      </c>
    </row>
    <row r="23">
      <c r="A23" s="6" t="inlineStr">
        <is>
          <t>lure</t>
        </is>
      </c>
      <c r="B23" s="6" t="n">
        <v>3</v>
      </c>
      <c r="C23" s="8" t="inlineStr">
        <is>
          <t>限量围观</t>
        </is>
      </c>
      <c r="D23" s="8" t="inlineStr">
        <is>
          <t>Hype Drop</t>
        </is>
      </c>
      <c r="E23" s="8" t="inlineStr">
        <is>
          <t>Édition limitée</t>
        </is>
      </c>
    </row>
    <row r="24">
      <c r="A24" s="6" t="inlineStr">
        <is>
          <t>miner</t>
        </is>
      </c>
      <c r="B24" s="6" t="n">
        <v>1</v>
      </c>
      <c r="C24" s="8" t="inlineStr">
        <is>
          <t>算力</t>
        </is>
      </c>
      <c r="D24" s="8" t="inlineStr">
        <is>
          <t>Hash</t>
        </is>
      </c>
      <c r="E24" s="8" t="inlineStr">
        <is>
          <t>Puissance</t>
        </is>
      </c>
    </row>
    <row r="25">
      <c r="A25" s="6" t="inlineStr">
        <is>
          <t>miner</t>
        </is>
      </c>
      <c r="B25" s="6" t="n">
        <v>2</v>
      </c>
      <c r="C25" s="8" t="inlineStr">
        <is>
          <t>矿池</t>
        </is>
      </c>
      <c r="D25" s="8" t="inlineStr">
        <is>
          <t>Pool</t>
        </is>
      </c>
      <c r="E25" s="8" t="inlineStr">
        <is>
          <t>Pool</t>
        </is>
      </c>
    </row>
    <row r="26">
      <c r="A26" s="6" t="inlineStr">
        <is>
          <t>miner</t>
        </is>
      </c>
      <c r="B26" s="6" t="n">
        <v>3</v>
      </c>
      <c r="C26" s="8" t="inlineStr">
        <is>
          <t>散热</t>
        </is>
      </c>
      <c r="D26" s="8" t="inlineStr">
        <is>
          <t>Cooling</t>
        </is>
      </c>
      <c r="E26" s="8" t="inlineStr">
        <is>
          <t>Refroidissement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143"/>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6" customWidth="1" min="3" max="3"/>
    <col width="16" customWidth="1" min="4" max="4"/>
    <col width="20" customWidth="1" min="5" max="5"/>
    <col width="22" customWidth="1" min="6" max="6"/>
    <col width="9" customWidth="1" min="7" max="7"/>
    <col width="36" customWidth="1" min="8" max="8"/>
    <col width="40" customWidth="1" min="9" max="9"/>
    <col width="42" customWidth="1" min="10" max="10"/>
    <col width="28" customWidth="1" min="11" max="11"/>
    <col width="12" customWidth="1" min="12" max="12"/>
  </cols>
  <sheetData>
    <row r="1" ht="30" customHeight="1">
      <c r="A1" s="4" t="inlineStr">
        <is>
          <t>装置 id</t>
        </is>
      </c>
      <c r="B1" s="4" t="inlineStr">
        <is>
          <t>路线</t>
        </is>
      </c>
      <c r="C1" s="4" t="inlineStr">
        <is>
          <t>等级</t>
        </is>
      </c>
      <c r="D1" s="4" t="inlineStr">
        <is>
          <t>名称（中文）</t>
        </is>
      </c>
      <c r="E1" s="4" t="inlineStr">
        <is>
          <t>名称（English）</t>
        </is>
      </c>
      <c r="F1" s="4" t="inlineStr">
        <is>
          <t>名称（Français）</t>
        </is>
      </c>
      <c r="G1" s="4" t="inlineStr">
        <is>
          <t>价格</t>
        </is>
      </c>
      <c r="H1" s="4" t="inlineStr">
        <is>
          <t>说明（中文）</t>
        </is>
      </c>
      <c r="I1" s="4" t="inlineStr">
        <is>
          <t>说明（English）</t>
        </is>
      </c>
      <c r="J1" s="4" t="inlineStr">
        <is>
          <t>说明（Français）</t>
        </is>
      </c>
      <c r="K1" s="4" t="inlineStr">
        <is>
          <t>效果（见「效果语法」）</t>
        </is>
      </c>
      <c r="L1" s="4" t="inlineStr">
        <is>
          <t>本路线累计花费</t>
        </is>
      </c>
    </row>
    <row r="2">
      <c r="A2" s="5" t="inlineStr">
        <is>
          <t>tower</t>
        </is>
      </c>
      <c r="B2" s="5" t="inlineStr">
        <is>
          <t>path</t>
        </is>
      </c>
      <c r="C2" s="5" t="inlineStr">
        <is>
          <t>tier</t>
        </is>
      </c>
      <c r="D2" s="5" t="inlineStr">
        <is>
          <t>name_zh</t>
        </is>
      </c>
      <c r="E2" s="5" t="inlineStr">
        <is>
          <t>name_en</t>
        </is>
      </c>
      <c r="F2" s="5" t="inlineStr">
        <is>
          <t>name_fr</t>
        </is>
      </c>
      <c r="G2" s="5" t="inlineStr">
        <is>
          <t>cost</t>
        </is>
      </c>
      <c r="H2" s="5" t="inlineStr">
        <is>
          <t>desc_zh</t>
        </is>
      </c>
      <c r="I2" s="5" t="inlineStr">
        <is>
          <t>desc_en</t>
        </is>
      </c>
      <c r="J2" s="5" t="inlineStr">
        <is>
          <t>desc_fr</t>
        </is>
      </c>
      <c r="K2" s="5" t="inlineStr">
        <is>
          <t>effect</t>
        </is>
      </c>
      <c r="L2" s="5" t="inlineStr"/>
    </row>
    <row r="3">
      <c r="A3" s="6" t="inlineStr">
        <is>
          <t>dart</t>
        </is>
      </c>
      <c r="B3" s="6" t="n">
        <v>1</v>
      </c>
      <c r="C3" s="6" t="n">
        <v>1</v>
      </c>
      <c r="D3" s="8" t="inlineStr">
        <is>
          <t>加料汽水罐</t>
        </is>
      </c>
      <c r="E3" s="8" t="inlineStr">
        <is>
          <t>Fizz Boost</t>
        </is>
      </c>
      <c r="F3" s="8" t="inlineStr">
        <is>
          <t>Soda boosté</t>
        </is>
      </c>
      <c r="G3" s="7" t="n">
        <v>60</v>
      </c>
      <c r="H3" s="8" t="inlineStr">
        <is>
          <t>效果 +1</t>
        </is>
      </c>
      <c r="I3" s="8" t="inlineStr">
        <is>
          <t>Effect +1</t>
        </is>
      </c>
      <c r="J3" s="8" t="inlineStr">
        <is>
          <t>Effet +1</t>
        </is>
      </c>
      <c r="K3" s="7" t="inlineStr">
        <is>
          <t>dmg+=1</t>
        </is>
      </c>
      <c r="L3" s="9">
        <f>SUMIFS($G$3:$G$143,$A$3:$A$143,A3,$B$3:$B$143,B3,$C$3:$C$143,"&lt;="&amp;C3)</f>
        <v/>
      </c>
    </row>
    <row r="4">
      <c r="A4" s="6" t="inlineStr">
        <is>
          <t>dart</t>
        </is>
      </c>
      <c r="B4" s="6" t="n">
        <v>1</v>
      </c>
      <c r="C4" s="6" t="n">
        <v>2</v>
      </c>
      <c r="D4" s="8" t="inlineStr">
        <is>
          <t>铁皮罐</t>
        </is>
      </c>
      <c r="E4" s="8" t="inlineStr">
        <is>
          <t>Tin Can</t>
        </is>
      </c>
      <c r="F4" s="8" t="inlineStr">
        <is>
          <t>Canette en fer</t>
        </is>
      </c>
      <c r="G4" s="7" t="n">
        <v>110</v>
      </c>
      <c r="H4" s="8" t="inlineStr">
        <is>
          <t>对重型目标（耐力跑者、巨鲸、Boss）效果 +40%，耐力减免降到 60%</t>
        </is>
      </c>
      <c r="I4" s="8" t="inlineStr">
        <is>
          <t>Heavy targets (endurance, whale, boss) +40%; endurance penalty eased to 60%</t>
        </is>
      </c>
      <c r="J4" s="8" t="inlineStr">
        <is>
          <t>Cibles lourdes (endurants, baleine, boss) +40 % ; malus d’endurance réduit à 60 %</t>
        </is>
      </c>
      <c r="K4" s="7" t="inlineStr">
        <is>
          <t>heavyMul+=0.4; armor&gt;=0.6</t>
        </is>
      </c>
      <c r="L4" s="9">
        <f>SUMIFS($G$3:$G$143,$A$3:$A$143,A4,$B$3:$B$143,B4,$C$3:$C$143,"&lt;="&amp;C4)</f>
        <v/>
      </c>
    </row>
    <row r="5">
      <c r="A5" s="6" t="inlineStr">
        <is>
          <t>dart</t>
        </is>
      </c>
      <c r="B5" s="6" t="n">
        <v>1</v>
      </c>
      <c r="C5" s="6" t="n">
        <v>3</v>
      </c>
      <c r="D5" s="8" t="inlineStr">
        <is>
          <t>蓄力重罐</t>
        </is>
      </c>
      <c r="E5" s="8" t="inlineStr">
        <is>
          <t>Charged Can</t>
        </is>
      </c>
      <c r="F5" s="8" t="inlineStr">
        <is>
          <t>Canette chargée</t>
        </is>
      </c>
      <c r="G5" s="7" t="n">
        <v>260</v>
      </c>
      <c r="H5" s="8" t="inlineStr">
        <is>
          <t>效果 +3，出手稍慢</t>
        </is>
      </c>
      <c r="I5" s="8" t="inlineStr">
        <is>
          <t>Effect +3, slightly slower</t>
        </is>
      </c>
      <c r="J5" s="8" t="inlineStr">
        <is>
          <t>Effet +3, un peu plus lent</t>
        </is>
      </c>
      <c r="K5" s="7" t="inlineStr">
        <is>
          <t>dmg+=3; rate*=1.2</t>
        </is>
      </c>
      <c r="L5" s="9">
        <f>SUMIFS($G$3:$G$143,$A$3:$A$143,A5,$B$3:$B$143,B5,$C$3:$C$143,"&lt;="&amp;C5)</f>
        <v/>
      </c>
    </row>
    <row r="6">
      <c r="A6" s="6" t="inlineStr">
        <is>
          <t>dart</t>
        </is>
      </c>
      <c r="B6" s="6" t="n">
        <v>1</v>
      </c>
      <c r="C6" s="6" t="n">
        <v>4</v>
      </c>
      <c r="D6" s="8" t="inlineStr">
        <is>
          <t>破防重罐</t>
        </is>
      </c>
      <c r="E6" s="8" t="inlineStr">
        <is>
          <t>Armor Breaker</t>
        </is>
      </c>
      <c r="F6" s="8" t="inlineStr">
        <is>
          <t>Brise-garde</t>
        </is>
      </c>
      <c r="G6" s="7" t="n">
        <v>450</v>
      </c>
      <c r="H6" s="8" t="inlineStr">
        <is>
          <t>耐力减免完全无效，对能量盾 ×2</t>
        </is>
      </c>
      <c r="I6" s="8" t="inlineStr">
        <is>
          <t>Ignores endurance; ×2 vs energy shields</t>
        </is>
      </c>
      <c r="J6" s="8" t="inlineStr">
        <is>
          <t>Ignore l’endurance ; ×2 contre les boucliers</t>
        </is>
      </c>
      <c r="K6" s="7" t="inlineStr">
        <is>
          <t>armor=1; shieldMul=2</t>
        </is>
      </c>
      <c r="L6" s="9">
        <f>SUMIFS($G$3:$G$143,$A$3:$A$143,A6,$B$3:$B$143,B6,$C$3:$C$143,"&lt;="&amp;C6)</f>
        <v/>
      </c>
    </row>
    <row r="7">
      <c r="A7" s="6" t="inlineStr">
        <is>
          <t>dart</t>
        </is>
      </c>
      <c r="B7" s="6" t="n">
        <v>1</v>
      </c>
      <c r="C7" s="6" t="n">
        <v>5</v>
      </c>
      <c r="D7" s="8" t="inlineStr">
        <is>
          <t>点杀专家</t>
        </is>
      </c>
      <c r="E7" s="8" t="inlineStr">
        <is>
          <t>Heavy Hunter</t>
        </is>
      </c>
      <c r="F7" s="8" t="inlineStr">
        <is>
          <t>Chasseur de poids lourds</t>
        </is>
      </c>
      <c r="G7" s="7" t="n">
        <v>1100</v>
      </c>
      <c r="H7" s="8" t="inlineStr">
        <is>
          <t>优先砸重型目标，对它们效果再 +100%</t>
        </is>
      </c>
      <c r="I7" s="8" t="inlineStr">
        <is>
          <t>Targets heavy runners first, +100% more vs them</t>
        </is>
      </c>
      <c r="J7" s="8" t="inlineStr">
        <is>
          <t>Vise d’abord les lourds, +100 % contre eux</t>
        </is>
      </c>
      <c r="K7" s="7" t="inlineStr">
        <is>
          <t>heavyFirst=1; heavyMul+=1</t>
        </is>
      </c>
      <c r="L7" s="9">
        <f>SUMIFS($G$3:$G$143,$A$3:$A$143,A7,$B$3:$B$143,B7,$C$3:$C$143,"&lt;="&amp;C7)</f>
        <v/>
      </c>
    </row>
    <row r="8">
      <c r="A8" s="6" t="inlineStr">
        <is>
          <t>dart</t>
        </is>
      </c>
      <c r="B8" s="6" t="n">
        <v>1</v>
      </c>
      <c r="C8" s="6" t="n">
        <v>6</v>
      </c>
      <c r="D8" s="8" t="inlineStr">
        <is>
          <t>巨罐裁判</t>
        </is>
      </c>
      <c r="E8" s="8" t="inlineStr">
        <is>
          <t>Mega-Can Referee</t>
        </is>
      </c>
      <c r="F8" s="8" t="inlineStr">
        <is>
          <t>Arbitre méga-canette</t>
        </is>
      </c>
      <c r="G8" s="7" t="n">
        <v>3600</v>
      </c>
      <c r="H8" s="8" t="inlineStr">
        <is>
          <t>效果 ×7，出手间隔 ×1.6</t>
        </is>
      </c>
      <c r="I8" s="8" t="inlineStr">
        <is>
          <t>Effect ×7, throw interval ×1.6</t>
        </is>
      </c>
      <c r="J8" s="8" t="inlineStr">
        <is>
          <t>Effet ×7, intervalle ×1,6</t>
        </is>
      </c>
      <c r="K8" s="7" t="inlineStr">
        <is>
          <t>dmg*=7; rate*=1.6</t>
        </is>
      </c>
      <c r="L8" s="9">
        <f>SUMIFS($G$3:$G$143,$A$3:$A$143,A8,$B$3:$B$143,B8,$C$3:$C$143,"&lt;="&amp;C8)</f>
        <v/>
      </c>
    </row>
    <row r="9">
      <c r="A9" s="6" t="inlineStr">
        <is>
          <t>dart</t>
        </is>
      </c>
      <c r="B9" s="6" t="n">
        <v>2</v>
      </c>
      <c r="C9" s="6" t="n">
        <v>1</v>
      </c>
      <c r="D9" s="8" t="inlineStr">
        <is>
          <t>快手</t>
        </is>
      </c>
      <c r="E9" s="8" t="inlineStr">
        <is>
          <t>Quick Hands</t>
        </is>
      </c>
      <c r="F9" s="8" t="inlineStr">
        <is>
          <t>Mains rapides</t>
        </is>
      </c>
      <c r="G9" s="7" t="n">
        <v>45</v>
      </c>
      <c r="H9" s="8" t="inlineStr">
        <is>
          <t>出手间隔 −25%</t>
        </is>
      </c>
      <c r="I9" s="8" t="inlineStr">
        <is>
          <t>Throw interval −25%</t>
        </is>
      </c>
      <c r="J9" s="8" t="inlineStr">
        <is>
          <t>Intervalle −25 %</t>
        </is>
      </c>
      <c r="K9" s="7" t="inlineStr">
        <is>
          <t>rate*=0.75</t>
        </is>
      </c>
      <c r="L9" s="9">
        <f>SUMIFS($G$3:$G$143,$A$3:$A$143,A9,$B$3:$B$143,B9,$C$3:$C$143,"&lt;="&amp;C9)</f>
        <v/>
      </c>
    </row>
    <row r="10">
      <c r="A10" s="6" t="inlineStr">
        <is>
          <t>dart</t>
        </is>
      </c>
      <c r="B10" s="6" t="n">
        <v>2</v>
      </c>
      <c r="C10" s="6" t="n">
        <v>2</v>
      </c>
      <c r="D10" s="8" t="inlineStr">
        <is>
          <t>连击</t>
        </is>
      </c>
      <c r="E10" s="8" t="inlineStr">
        <is>
          <t>Combo</t>
        </is>
      </c>
      <c r="F10" s="8" t="inlineStr">
        <is>
          <t>Combo</t>
        </is>
      </c>
      <c r="G10" s="7" t="n">
        <v>70</v>
      </c>
      <c r="H10" s="8" t="inlineStr">
        <is>
          <t>连续砸同一人，每次 +15%（最多 +45%）</t>
        </is>
      </c>
      <c r="I10" s="8" t="inlineStr">
        <is>
          <t>Each consecutive hit on the same runner +15% (max +45%)</t>
        </is>
      </c>
      <c r="J10" s="8" t="inlineStr">
        <is>
          <t>Chaque coup consécutif sur le même coureur +15 % (max +45 %)</t>
        </is>
      </c>
      <c r="K10" s="7" t="inlineStr">
        <is>
          <t>streak=0.15; streakMax=3</t>
        </is>
      </c>
      <c r="L10" s="9">
        <f>SUMIFS($G$3:$G$143,$A$3:$A$143,A10,$B$3:$B$143,B10,$C$3:$C$143,"&lt;="&amp;C10)</f>
        <v/>
      </c>
    </row>
    <row r="11">
      <c r="A11" s="6" t="inlineStr">
        <is>
          <t>dart</t>
        </is>
      </c>
      <c r="B11" s="6" t="n">
        <v>2</v>
      </c>
      <c r="C11" s="6" t="n">
        <v>3</v>
      </c>
      <c r="D11" s="8" t="inlineStr">
        <is>
          <t>连续追投</t>
        </is>
      </c>
      <c r="E11" s="8" t="inlineStr">
        <is>
          <t>Chain Toss</t>
        </is>
      </c>
      <c r="F11" s="8" t="inlineStr">
        <is>
          <t>Lancers enchaînés</t>
        </is>
      </c>
      <c r="G11" s="7" t="n">
        <v>200</v>
      </c>
      <c r="H11" s="8" t="inlineStr">
        <is>
          <t>出手间隔 −25%，连击上限 +75%</t>
        </is>
      </c>
      <c r="I11" s="8" t="inlineStr">
        <is>
          <t>Interval −25%, combo cap +75%</t>
        </is>
      </c>
      <c r="J11" s="8" t="inlineStr">
        <is>
          <t>Intervalle −25 %, combo max +75 %</t>
        </is>
      </c>
      <c r="K11" s="7" t="inlineStr">
        <is>
          <t>rate*=0.75; streakMax=5</t>
        </is>
      </c>
      <c r="L11" s="9">
        <f>SUMIFS($G$3:$G$143,$A$3:$A$143,A11,$B$3:$B$143,B11,$C$3:$C$143,"&lt;="&amp;C11)</f>
        <v/>
      </c>
    </row>
    <row r="12">
      <c r="A12" s="6" t="inlineStr">
        <is>
          <t>dart</t>
        </is>
      </c>
      <c r="B12" s="6" t="n">
        <v>2</v>
      </c>
      <c r="C12" s="6" t="n">
        <v>4</v>
      </c>
      <c r="D12" s="8" t="inlineStr">
        <is>
          <t>转火保连击</t>
        </is>
      </c>
      <c r="E12" s="8" t="inlineStr">
        <is>
          <t>Keep the Rhythm</t>
        </is>
      </c>
      <c r="F12" s="8" t="inlineStr">
        <is>
          <t>Garder le rythme</t>
        </is>
      </c>
      <c r="G12" s="7" t="n">
        <v>420</v>
      </c>
      <c r="H12" s="8" t="inlineStr">
        <is>
          <t>换目标时保留一半连击</t>
        </is>
      </c>
      <c r="I12" s="8" t="inlineStr">
        <is>
          <t>Keep half your combo when switching targets</t>
        </is>
      </c>
      <c r="J12" s="8" t="inlineStr">
        <is>
          <t>Garde la moitié du combo en changeant de cible</t>
        </is>
      </c>
      <c r="K12" s="7" t="inlineStr">
        <is>
          <t>keepStreak=0.5</t>
        </is>
      </c>
      <c r="L12" s="9">
        <f>SUMIFS($G$3:$G$143,$A$3:$A$143,A12,$B$3:$B$143,B12,$C$3:$C$143,"&lt;="&amp;C12)</f>
        <v/>
      </c>
    </row>
    <row r="13">
      <c r="A13" s="6" t="inlineStr">
        <is>
          <t>dart</t>
        </is>
      </c>
      <c r="B13" s="6" t="n">
        <v>2</v>
      </c>
      <c r="C13" s="6" t="n">
        <v>5</v>
      </c>
      <c r="D13" s="8" t="inlineStr">
        <is>
          <t>双臂连投</t>
        </is>
      </c>
      <c r="E13" s="8" t="inlineStr">
        <is>
          <t>Two-Arm Toss</t>
        </is>
      </c>
      <c r="F13" s="8" t="inlineStr">
        <is>
          <t>Lancer à deux bras</t>
        </is>
      </c>
      <c r="G13" s="7" t="n">
        <v>1500</v>
      </c>
      <c r="H13" s="8" t="inlineStr">
        <is>
          <t>每次投两罐</t>
        </is>
      </c>
      <c r="I13" s="8" t="inlineStr">
        <is>
          <t>Throws two cans each time</t>
        </is>
      </c>
      <c r="J13" s="8" t="inlineStr">
        <is>
          <t>Lance deux canettes à chaque fois</t>
        </is>
      </c>
      <c r="K13" s="7" t="inlineStr">
        <is>
          <t>shots=2</t>
        </is>
      </c>
      <c r="L13" s="9">
        <f>SUMIFS($G$3:$G$143,$A$3:$A$143,A13,$B$3:$B$143,B13,$C$3:$C$143,"&lt;="&amp;C13)</f>
        <v/>
      </c>
    </row>
    <row r="14">
      <c r="A14" s="6" t="inlineStr">
        <is>
          <t>dart</t>
        </is>
      </c>
      <c r="B14" s="6" t="n">
        <v>2</v>
      </c>
      <c r="C14" s="6" t="n">
        <v>6</v>
      </c>
      <c r="D14" s="8" t="inlineStr">
        <is>
          <t>连罐风暴</t>
        </is>
      </c>
      <c r="E14" s="8" t="inlineStr">
        <is>
          <t>Can Storm</t>
        </is>
      </c>
      <c r="F14" s="8" t="inlineStr">
        <is>
          <t>Tempête de canettes</t>
        </is>
      </c>
      <c r="G14" s="7" t="n">
        <v>3400</v>
      </c>
      <c r="H14" s="8" t="inlineStr">
        <is>
          <t>效果 +3；每 6 秒爆发：4 秒内出手 ×4，之后散热 2 秒</t>
        </is>
      </c>
      <c r="I14" s="8" t="inlineStr">
        <is>
          <t>Effect +3; every 6 s: 4 s at ×4 throw speed, then 2 s cooling down</t>
        </is>
      </c>
      <c r="J14" s="8" t="inlineStr">
        <is>
          <t>Effet +3 ; toutes les 6 s : 4 s à cadence ×4, puis 2 s de refroidissement</t>
        </is>
      </c>
      <c r="K14" s="7" t="inlineStr">
        <is>
          <t>storm=6; dmg+=3</t>
        </is>
      </c>
      <c r="L14" s="9">
        <f>SUMIFS($G$3:$G$143,$A$3:$A$143,A14,$B$3:$B$143,B14,$C$3:$C$143,"&lt;="&amp;C14)</f>
        <v/>
      </c>
    </row>
    <row r="15">
      <c r="A15" s="6" t="inlineStr">
        <is>
          <t>dart</t>
        </is>
      </c>
      <c r="B15" s="6" t="n">
        <v>3</v>
      </c>
      <c r="C15" s="6" t="n">
        <v>1</v>
      </c>
      <c r="D15" s="8" t="inlineStr">
        <is>
          <t>远投</t>
        </is>
      </c>
      <c r="E15" s="8" t="inlineStr">
        <is>
          <t>Long Toss</t>
        </is>
      </c>
      <c r="F15" s="8" t="inlineStr">
        <is>
          <t>Lancer long</t>
        </is>
      </c>
      <c r="G15" s="7" t="n">
        <v>50</v>
      </c>
      <c r="H15" s="8" t="inlineStr">
        <is>
          <t>射程 +25</t>
        </is>
      </c>
      <c r="I15" s="8" t="inlineStr">
        <is>
          <t>Range +25</t>
        </is>
      </c>
      <c r="J15" s="8" t="inlineStr">
        <is>
          <t>Portée +25</t>
        </is>
      </c>
      <c r="K15" s="7" t="inlineStr">
        <is>
          <t>range+=25</t>
        </is>
      </c>
      <c r="L15" s="9">
        <f>SUMIFS($G$3:$G$143,$A$3:$A$143,A15,$B$3:$B$143,B15,$C$3:$C$143,"&lt;="&amp;C15)</f>
        <v/>
      </c>
    </row>
    <row r="16">
      <c r="A16" s="6" t="inlineStr">
        <is>
          <t>dart</t>
        </is>
      </c>
      <c r="B16" s="6" t="n">
        <v>3</v>
      </c>
      <c r="C16" s="6" t="n">
        <v>2</v>
      </c>
      <c r="D16" s="8" t="inlineStr">
        <is>
          <t>弱点标记</t>
        </is>
      </c>
      <c r="E16" s="8" t="inlineStr">
        <is>
          <t>Weak-Spot Mark</t>
        </is>
      </c>
      <c r="F16" s="8" t="inlineStr">
        <is>
          <t>Marque</t>
        </is>
      </c>
      <c r="G16" s="7" t="n">
        <v>100</v>
      </c>
      <c r="H16" s="8" t="inlineStr">
        <is>
          <t>命中标记 2 秒：被标记的跑者受到所有效果 +10%</t>
        </is>
      </c>
      <c r="I16" s="8" t="inlineStr">
        <is>
          <t>Hits mark for 2 s: marked runners take +10% from everything</t>
        </is>
      </c>
      <c r="J16" s="8" t="inlineStr">
        <is>
          <t>Marque 2 s : les coureurs marqués subissent +10 % de tout</t>
        </is>
      </c>
      <c r="K16" s="7" t="inlineStr">
        <is>
          <t>mark=2; markPct&gt;=0.1</t>
        </is>
      </c>
      <c r="L16" s="9">
        <f>SUMIFS($G$3:$G$143,$A$3:$A$143,A16,$B$3:$B$143,B16,$C$3:$C$143,"&lt;="&amp;C16)</f>
        <v/>
      </c>
    </row>
    <row r="17">
      <c r="A17" s="6" t="inlineStr">
        <is>
          <t>dart</t>
        </is>
      </c>
      <c r="B17" s="6" t="n">
        <v>3</v>
      </c>
      <c r="C17" s="6" t="n">
        <v>3</v>
      </c>
      <c r="D17" s="8" t="inlineStr">
        <is>
          <t>强化标记</t>
        </is>
      </c>
      <c r="E17" s="8" t="inlineStr">
        <is>
          <t>Bigger Mark</t>
        </is>
      </c>
      <c r="F17" s="8" t="inlineStr">
        <is>
          <t>Marque renforcée</t>
        </is>
      </c>
      <c r="G17" s="7" t="n">
        <v>280</v>
      </c>
      <c r="H17" s="8" t="inlineStr">
        <is>
          <t>标记增伤提高到 +20%</t>
        </is>
      </c>
      <c r="I17" s="8" t="inlineStr">
        <is>
          <t>Mark bonus raised to +20%</t>
        </is>
      </c>
      <c r="J17" s="8" t="inlineStr">
        <is>
          <t>Bonus de marque porté à +20 %</t>
        </is>
      </c>
      <c r="K17" s="7" t="inlineStr">
        <is>
          <t>markPct&gt;=0.2</t>
        </is>
      </c>
      <c r="L17" s="9">
        <f>SUMIFS($G$3:$G$143,$A$3:$A$143,A17,$B$3:$B$143,B17,$C$3:$C$143,"&lt;="&amp;C17)</f>
        <v/>
      </c>
    </row>
    <row r="18">
      <c r="A18" s="6" t="inlineStr">
        <is>
          <t>dart</t>
        </is>
      </c>
      <c r="B18" s="6" t="n">
        <v>3</v>
      </c>
      <c r="C18" s="6" t="n">
        <v>4</v>
      </c>
      <c r="D18" s="8" t="inlineStr">
        <is>
          <t>持久标记</t>
        </is>
      </c>
      <c r="E18" s="8" t="inlineStr">
        <is>
          <t>Lasting Mark</t>
        </is>
      </c>
      <c r="F18" s="8" t="inlineStr">
        <is>
          <t>Marque durable</t>
        </is>
      </c>
      <c r="G18" s="7" t="n">
        <v>550</v>
      </c>
      <c r="H18" s="8" t="inlineStr">
        <is>
          <t>标记持续 5 秒，射程 +20</t>
        </is>
      </c>
      <c r="I18" s="8" t="inlineStr">
        <is>
          <t>Mark lasts 5 s, range +20</t>
        </is>
      </c>
      <c r="J18" s="8" t="inlineStr">
        <is>
          <t>Marque 5 s, portée +20</t>
        </is>
      </c>
      <c r="K18" s="7" t="inlineStr">
        <is>
          <t>mark=5; range+=20</t>
        </is>
      </c>
      <c r="L18" s="9">
        <f>SUMIFS($G$3:$G$143,$A$3:$A$143,A18,$B$3:$B$143,B18,$C$3:$C$143,"&lt;="&amp;C18)</f>
        <v/>
      </c>
    </row>
    <row r="19">
      <c r="A19" s="6" t="inlineStr">
        <is>
          <t>dart</t>
        </is>
      </c>
      <c r="B19" s="6" t="n">
        <v>3</v>
      </c>
      <c r="C19" s="6" t="n">
        <v>5</v>
      </c>
      <c r="D19" s="8" t="inlineStr">
        <is>
          <t>集火信号</t>
        </is>
      </c>
      <c r="E19" s="8" t="inlineStr">
        <is>
          <t>Focus Call</t>
        </is>
      </c>
      <c r="F19" s="8" t="inlineStr">
        <is>
          <t>Appel au tir</t>
        </is>
      </c>
      <c r="G19" s="7" t="n">
        <v>1200</v>
      </c>
      <c r="H19" s="8" t="inlineStr">
        <is>
          <t>标记增伤 +35%，附近装置优先打被标记的跑者</t>
        </is>
      </c>
      <c r="I19" s="8" t="inlineStr">
        <is>
          <t>Mark bonus +35%; nearby devices hit marked runners first</t>
        </is>
      </c>
      <c r="J19" s="8" t="inlineStr">
        <is>
          <t>Bonus de marque +35 % ; les dispositifs proches visent d’abord les marqués</t>
        </is>
      </c>
      <c r="K19" s="7" t="inlineStr">
        <is>
          <t>markPct&gt;=0.35; markPull=150</t>
        </is>
      </c>
      <c r="L19" s="9">
        <f>SUMIFS($G$3:$G$143,$A$3:$A$143,A19,$B$3:$B$143,B19,$C$3:$C$143,"&lt;="&amp;C19)</f>
        <v/>
      </c>
    </row>
    <row r="20">
      <c r="A20" s="6" t="inlineStr">
        <is>
          <t>dart</t>
        </is>
      </c>
      <c r="B20" s="6" t="n">
        <v>3</v>
      </c>
      <c r="C20" s="6" t="n">
        <v>6</v>
      </c>
      <c r="D20" s="8" t="inlineStr">
        <is>
          <t>集火指挥台</t>
        </is>
      </c>
      <c r="E20" s="8" t="inlineStr">
        <is>
          <t>Focus Command</t>
        </is>
      </c>
      <c r="F20" s="8" t="inlineStr">
        <is>
          <t>Poste de commandement</t>
        </is>
      </c>
      <c r="G20" s="7" t="n">
        <v>3000</v>
      </c>
      <c r="H20" s="8" t="inlineStr">
        <is>
          <t>150 范围内的装置都打你点的目标，标记 +60%；自身效果减半</t>
        </is>
      </c>
      <c r="I20" s="8" t="inlineStr">
        <is>
          <t>Devices within 150 all hit your target, mark +60%; own effect halved</t>
        </is>
      </c>
      <c r="J20" s="8" t="inlineStr">
        <is>
          <t>Les dispositifs à 150 frappent ta cible, marque +60 % ; effet propre divisé par deux</t>
        </is>
      </c>
      <c r="K20" s="7" t="inlineStr">
        <is>
          <t>focus=150; markPct&gt;=0.6; dmg*=0.5</t>
        </is>
      </c>
      <c r="L20" s="9">
        <f>SUMIFS($G$3:$G$143,$A$3:$A$143,A20,$B$3:$B$143,B20,$C$3:$C$143,"&lt;="&amp;C20)</f>
        <v/>
      </c>
    </row>
    <row r="21">
      <c r="A21" s="6" t="inlineStr">
        <is>
          <t>bomb</t>
        </is>
      </c>
      <c r="B21" s="6" t="n">
        <v>1</v>
      </c>
      <c r="C21" s="6" t="n">
        <v>1</v>
      </c>
      <c r="D21" s="8" t="inlineStr">
        <is>
          <t>大片香蕉皮</t>
        </is>
      </c>
      <c r="E21" s="8" t="inlineStr">
        <is>
          <t>Big Peel</t>
        </is>
      </c>
      <c r="F21" s="8" t="inlineStr">
        <is>
          <t>Grande peau</t>
        </is>
      </c>
      <c r="G21" s="7" t="n">
        <v>70</v>
      </c>
      <c r="H21" s="8" t="inlineStr">
        <is>
          <t>滑倒范围 +8</t>
        </is>
      </c>
      <c r="I21" s="8" t="inlineStr">
        <is>
          <t>Slip area +8</t>
        </is>
      </c>
      <c r="J21" s="8" t="inlineStr">
        <is>
          <t>Zone de glissade +8</t>
        </is>
      </c>
      <c r="K21" s="7" t="inlineStr">
        <is>
          <t>rad+=8</t>
        </is>
      </c>
      <c r="L21" s="9">
        <f>SUMIFS($G$3:$G$143,$A$3:$A$143,A21,$B$3:$B$143,B21,$C$3:$C$143,"&lt;="&amp;C21)</f>
        <v/>
      </c>
    </row>
    <row r="22">
      <c r="A22" s="6" t="inlineStr">
        <is>
          <t>bomb</t>
        </is>
      </c>
      <c r="B22" s="6" t="n">
        <v>1</v>
      </c>
      <c r="C22" s="6" t="n">
        <v>2</v>
      </c>
      <c r="D22" s="8" t="inlineStr">
        <is>
          <t>多人滑倒</t>
        </is>
      </c>
      <c r="E22" s="8" t="inlineStr">
        <is>
          <t>Pile-Up</t>
        </is>
      </c>
      <c r="F22" s="8" t="inlineStr">
        <is>
          <t>Carambolage</t>
        </is>
      </c>
      <c r="G22" s="7" t="n">
        <v>100</v>
      </c>
      <c r="H22" s="8" t="inlineStr">
        <is>
          <t>每片可放倒人数 +2</t>
        </is>
      </c>
      <c r="I22" s="8" t="inlineStr">
        <is>
          <t>Each peel trips 2 more runners</t>
        </is>
      </c>
      <c r="J22" s="8" t="inlineStr">
        <is>
          <t>Chaque peau fait tomber 2 coureurs de plus</t>
        </is>
      </c>
      <c r="K22" s="7" t="inlineStr">
        <is>
          <t>hitCap+=2</t>
        </is>
      </c>
      <c r="L22" s="9">
        <f>SUMIFS($G$3:$G$143,$A$3:$A$143,A22,$B$3:$B$143,B22,$C$3:$C$143,"&lt;="&amp;C22)</f>
        <v/>
      </c>
    </row>
    <row r="23">
      <c r="A23" s="6" t="inlineStr">
        <is>
          <t>bomb</t>
        </is>
      </c>
      <c r="B23" s="6" t="n">
        <v>1</v>
      </c>
      <c r="C23" s="6" t="n">
        <v>3</v>
      </c>
      <c r="D23" s="8" t="inlineStr">
        <is>
          <t>成片撒皮</t>
        </is>
      </c>
      <c r="E23" s="8" t="inlineStr">
        <is>
          <t>Peel Patch</t>
        </is>
      </c>
      <c r="F23" s="8" t="inlineStr">
        <is>
          <t>Tapis de peaux</t>
        </is>
      </c>
      <c r="G23" s="7" t="n">
        <v>300</v>
      </c>
      <c r="H23" s="8" t="inlineStr">
        <is>
          <t>一次扔 3 片</t>
        </is>
      </c>
      <c r="I23" s="8" t="inlineStr">
        <is>
          <t>Throws 3 peels at once</t>
        </is>
      </c>
      <c r="J23" s="8" t="inlineStr">
        <is>
          <t>Lance 3 peaux d’un coup</t>
        </is>
      </c>
      <c r="K23" s="7" t="inlineStr">
        <is>
          <t>bombs=3; peelMax+=3</t>
        </is>
      </c>
      <c r="L23" s="9">
        <f>SUMIFS($G$3:$G$143,$A$3:$A$143,A23,$B$3:$B$143,B23,$C$3:$C$143,"&lt;="&amp;C23)</f>
        <v/>
      </c>
    </row>
    <row r="24">
      <c r="A24" s="6" t="inlineStr">
        <is>
          <t>bomb</t>
        </is>
      </c>
      <c r="B24" s="6" t="n">
        <v>1</v>
      </c>
      <c r="C24" s="6" t="n">
        <v>4</v>
      </c>
      <c r="D24" s="8" t="inlineStr">
        <is>
          <t>扇形覆盖</t>
        </is>
      </c>
      <c r="E24" s="8" t="inlineStr">
        <is>
          <t>Fan Spread</t>
        </is>
      </c>
      <c r="F24" s="8" t="inlineStr">
        <is>
          <t>Éventail</t>
        </is>
      </c>
      <c r="G24" s="7" t="n">
        <v>650</v>
      </c>
      <c r="H24" s="8" t="inlineStr">
        <is>
          <t>散得更开，范围再 +8</t>
        </is>
      </c>
      <c r="I24" s="8" t="inlineStr">
        <is>
          <t>Wider spread, area +8</t>
        </is>
      </c>
      <c r="J24" s="8" t="inlineStr">
        <is>
          <t>Plus étalé, zone +8</t>
        </is>
      </c>
      <c r="K24" s="7" t="inlineStr">
        <is>
          <t>spread+=20; rad+=8</t>
        </is>
      </c>
      <c r="L24" s="9">
        <f>SUMIFS($G$3:$G$143,$A$3:$A$143,A24,$B$3:$B$143,B24,$C$3:$C$143,"&lt;="&amp;C24)</f>
        <v/>
      </c>
    </row>
    <row r="25">
      <c r="A25" s="6" t="inlineStr">
        <is>
          <t>bomb</t>
        </is>
      </c>
      <c r="B25" s="6" t="n">
        <v>1</v>
      </c>
      <c r="C25" s="6" t="n">
        <v>5</v>
      </c>
      <c r="D25" s="8" t="inlineStr">
        <is>
          <t>滑倒陷阱区</t>
        </is>
      </c>
      <c r="E25" s="8" t="inlineStr">
        <is>
          <t>Slip Zone</t>
        </is>
      </c>
      <c r="F25" s="8" t="inlineStr">
        <is>
          <t>Zone glissante</t>
        </is>
      </c>
      <c r="G25" s="7" t="n">
        <v>1500</v>
      </c>
      <c r="H25" s="8" t="inlineStr">
        <is>
          <t>范围 ×1.5，每片可放倒人数 +4</t>
        </is>
      </c>
      <c r="I25" s="8" t="inlineStr">
        <is>
          <t>Area ×1.5, 4 more runners per peel</t>
        </is>
      </c>
      <c r="J25" s="8" t="inlineStr">
        <is>
          <t>Zone ×1,5, 4 coureurs de plus par peau</t>
        </is>
      </c>
      <c r="K25" s="7" t="inlineStr">
        <is>
          <t>rad*=1.5; hitCap+=4</t>
        </is>
      </c>
      <c r="L25" s="9">
        <f>SUMIFS($G$3:$G$143,$A$3:$A$143,A25,$B$3:$B$143,B25,$C$3:$C$143,"&lt;="&amp;C25)</f>
        <v/>
      </c>
    </row>
    <row r="26">
      <c r="A26" s="6" t="inlineStr">
        <is>
          <t>bomb</t>
        </is>
      </c>
      <c r="B26" s="6" t="n">
        <v>1</v>
      </c>
      <c r="C26" s="6" t="n">
        <v>6</v>
      </c>
      <c r="D26" s="8" t="inlineStr">
        <is>
          <t>整道铺皮机</t>
        </is>
      </c>
      <c r="E26" s="8" t="inlineStr">
        <is>
          <t>Peel Paver</t>
        </is>
      </c>
      <c r="F26" s="8" t="inlineStr">
        <is>
          <t>Paveuse à peaux</t>
        </is>
      </c>
      <c r="G26" s="7" t="n">
        <v>3800</v>
      </c>
      <c r="H26" s="8" t="inlineStr">
        <is>
          <t>每 3.5 秒在选定路段铺满 18 片香蕉皮，效果 ×1.5</t>
        </is>
      </c>
      <c r="I26" s="8" t="inlineStr">
        <is>
          <t>Every 3.5 s, paves the chosen stretch with 18 peels, effect ×1.5</t>
        </is>
      </c>
      <c r="J26" s="8" t="inlineStr">
        <is>
          <t>Toutes les 3,5 s, couvre le tronçon choisi de 18 peaux, effet ×1,5</t>
        </is>
      </c>
      <c r="K26" s="7" t="inlineStr">
        <is>
          <t>carpet=18; rate=3.5; peelMax+=36; dmg*=1.5</t>
        </is>
      </c>
      <c r="L26" s="9">
        <f>SUMIFS($G$3:$G$143,$A$3:$A$143,A26,$B$3:$B$143,B26,$C$3:$C$143,"&lt;="&amp;C26)</f>
        <v/>
      </c>
    </row>
    <row r="27">
      <c r="A27" s="6" t="inlineStr">
        <is>
          <t>bomb</t>
        </is>
      </c>
      <c r="B27" s="6" t="n">
        <v>2</v>
      </c>
      <c r="C27" s="6" t="n">
        <v>1</v>
      </c>
      <c r="D27" s="8" t="inlineStr">
        <is>
          <t>滑更远</t>
        </is>
      </c>
      <c r="E27" s="8" t="inlineStr">
        <is>
          <t>Long Slide</t>
        </is>
      </c>
      <c r="F27" s="8" t="inlineStr">
        <is>
          <t>Longue glissade</t>
        </is>
      </c>
      <c r="G27" s="7" t="n">
        <v>70</v>
      </c>
      <c r="H27" s="8" t="inlineStr">
        <is>
          <t>滑倒的跑者往回滑 20</t>
        </is>
      </c>
      <c r="I27" s="8" t="inlineStr">
        <is>
          <t>Slipped runners slide back 20</t>
        </is>
      </c>
      <c r="J27" s="8" t="inlineStr">
        <is>
          <t>Les coureurs glissent de 20 en arrière</t>
        </is>
      </c>
      <c r="K27" s="7" t="inlineStr">
        <is>
          <t>slideBack+=20</t>
        </is>
      </c>
      <c r="L27" s="9">
        <f>SUMIFS($G$3:$G$143,$A$3:$A$143,A27,$B$3:$B$143,B27,$C$3:$C$143,"&lt;="&amp;C27)</f>
        <v/>
      </c>
    </row>
    <row r="28">
      <c r="A28" s="6" t="inlineStr">
        <is>
          <t>bomb</t>
        </is>
      </c>
      <c r="B28" s="6" t="n">
        <v>2</v>
      </c>
      <c r="C28" s="6" t="n">
        <v>2</v>
      </c>
      <c r="D28" s="8" t="inlineStr">
        <is>
          <t>滑行冲击</t>
        </is>
      </c>
      <c r="E28" s="8" t="inlineStr">
        <is>
          <t>Slide Impact</t>
        </is>
      </c>
      <c r="F28" s="8" t="inlineStr">
        <is>
          <t>Choc de glissade</t>
        </is>
      </c>
      <c r="G28" s="7" t="n">
        <v>120</v>
      </c>
      <c r="H28" s="8" t="inlineStr">
        <is>
          <t>滑行时额外受 2 点效果</t>
        </is>
      </c>
      <c r="I28" s="8" t="inlineStr">
        <is>
          <t>Sliding adds 2 effect</t>
        </is>
      </c>
      <c r="J28" s="8" t="inlineStr">
        <is>
          <t>La glissade inflige 2 de plus</t>
        </is>
      </c>
      <c r="K28" s="7" t="inlineStr">
        <is>
          <t>slideDmg+=2</t>
        </is>
      </c>
      <c r="L28" s="9">
        <f>SUMIFS($G$3:$G$143,$A$3:$A$143,A28,$B$3:$B$143,B28,$C$3:$C$143,"&lt;="&amp;C28)</f>
        <v/>
      </c>
    </row>
    <row r="29">
      <c r="A29" s="6" t="inlineStr">
        <is>
          <t>bomb</t>
        </is>
      </c>
      <c r="B29" s="6" t="n">
        <v>2</v>
      </c>
      <c r="C29" s="6" t="n">
        <v>3</v>
      </c>
      <c r="D29" s="8" t="inlineStr">
        <is>
          <t>连环相撞</t>
        </is>
      </c>
      <c r="E29" s="8" t="inlineStr">
        <is>
          <t>Chain Crash</t>
        </is>
      </c>
      <c r="F29" s="8" t="inlineStr">
        <is>
          <t>Collision en chaîne</t>
        </is>
      </c>
      <c r="G29" s="7" t="n">
        <v>320</v>
      </c>
      <c r="H29" s="8" t="inlineStr">
        <is>
          <t>滑倒的人会撞倒身后 2 人</t>
        </is>
      </c>
      <c r="I29" s="8" t="inlineStr">
        <is>
          <t>Sliders knock over 2 runners behind them</t>
        </is>
      </c>
      <c r="J29" s="8" t="inlineStr">
        <is>
          <t>Les glisseurs renversent 2 coureurs derrière eux</t>
        </is>
      </c>
      <c r="K29" s="7" t="inlineStr">
        <is>
          <t>bowl=2</t>
        </is>
      </c>
      <c r="L29" s="9">
        <f>SUMIFS($G$3:$G$143,$A$3:$A$143,A29,$B$3:$B$143,B29,$C$3:$C$143,"&lt;="&amp;C29)</f>
        <v/>
      </c>
    </row>
    <row r="30">
      <c r="A30" s="6" t="inlineStr">
        <is>
          <t>bomb</t>
        </is>
      </c>
      <c r="B30" s="6" t="n">
        <v>2</v>
      </c>
      <c r="C30" s="6" t="n">
        <v>4</v>
      </c>
      <c r="D30" s="8" t="inlineStr">
        <is>
          <t>多米诺</t>
        </is>
      </c>
      <c r="E30" s="8" t="inlineStr">
        <is>
          <t>Dominoes</t>
        </is>
      </c>
      <c r="F30" s="8" t="inlineStr">
        <is>
          <t>Dominos</t>
        </is>
      </c>
      <c r="G30" s="7" t="n">
        <v>700</v>
      </c>
      <c r="H30" s="8" t="inlineStr">
        <is>
          <t>撞倒人数 +3</t>
        </is>
      </c>
      <c r="I30" s="8" t="inlineStr">
        <is>
          <t>Knock over 3 more</t>
        </is>
      </c>
      <c r="J30" s="8" t="inlineStr">
        <is>
          <t>3 renversés de plus</t>
        </is>
      </c>
      <c r="K30" s="7" t="inlineStr">
        <is>
          <t>bowl+=3</t>
        </is>
      </c>
      <c r="L30" s="9">
        <f>SUMIFS($G$3:$G$143,$A$3:$A$143,A30,$B$3:$B$143,B30,$C$3:$C$143,"&lt;="&amp;C30)</f>
        <v/>
      </c>
    </row>
    <row r="31">
      <c r="A31" s="6" t="inlineStr">
        <is>
          <t>bomb</t>
        </is>
      </c>
      <c r="B31" s="6" t="n">
        <v>2</v>
      </c>
      <c r="C31" s="6" t="n">
        <v>5</v>
      </c>
      <c r="D31" s="8" t="inlineStr">
        <is>
          <t>小队连撞</t>
        </is>
      </c>
      <c r="E31" s="8" t="inlineStr">
        <is>
          <t>Squad Crash</t>
        </is>
      </c>
      <c r="F31" s="8" t="inlineStr">
        <is>
          <t>Collision d’équipe</t>
        </is>
      </c>
      <c r="G31" s="7" t="n">
        <v>1500</v>
      </c>
      <c r="H31" s="8" t="inlineStr">
        <is>
          <t>撞倒人数 +4，滑行再 +20</t>
        </is>
      </c>
      <c r="I31" s="8" t="inlineStr">
        <is>
          <t>4 more knocked over, slide +20</t>
        </is>
      </c>
      <c r="J31" s="8" t="inlineStr">
        <is>
          <t>4 de plus, glissade +20</t>
        </is>
      </c>
      <c r="K31" s="7" t="inlineStr">
        <is>
          <t>bowl+=4; slideBack+=20</t>
        </is>
      </c>
      <c r="L31" s="9">
        <f>SUMIFS($G$3:$G$143,$A$3:$A$143,A31,$B$3:$B$143,B31,$C$3:$C$143,"&lt;="&amp;C31)</f>
        <v/>
      </c>
    </row>
    <row r="32">
      <c r="A32" s="6" t="inlineStr">
        <is>
          <t>bomb</t>
        </is>
      </c>
      <c r="B32" s="6" t="n">
        <v>2</v>
      </c>
      <c r="C32" s="6" t="n">
        <v>6</v>
      </c>
      <c r="D32" s="8" t="inlineStr">
        <is>
          <t>滑倒保龄球</t>
        </is>
      </c>
      <c r="E32" s="8" t="inlineStr">
        <is>
          <t>Peel Bowling</t>
        </is>
      </c>
      <c r="F32" s="8" t="inlineStr">
        <is>
          <t>Bowling à peaux</t>
        </is>
      </c>
      <c r="G32" s="7" t="n">
        <v>3600</v>
      </c>
      <c r="H32" s="8" t="inlineStr">
        <is>
          <t>一路撞倒整支小队（每人每片一次），效果 ×2，冲击 ×4</t>
        </is>
      </c>
      <c r="I32" s="8" t="inlineStr">
        <is>
          <t>Bowls over a whole squad (once per runner per peel), effect ×2, impact ×4</t>
        </is>
      </c>
      <c r="J32" s="8" t="inlineStr">
        <is>
          <t>Renverse toute une équipe (une fois par coureur et par peau), effet ×2, choc ×4</t>
        </is>
      </c>
      <c r="K32" s="7" t="inlineStr">
        <is>
          <t>bowl=20; dmg*=2; slideDmg*=4</t>
        </is>
      </c>
      <c r="L32" s="9">
        <f>SUMIFS($G$3:$G$143,$A$3:$A$143,A32,$B$3:$B$143,B32,$C$3:$C$143,"&lt;="&amp;C32)</f>
        <v/>
      </c>
    </row>
    <row r="33">
      <c r="A33" s="6" t="inlineStr">
        <is>
          <t>bomb</t>
        </is>
      </c>
      <c r="B33" s="6" t="n">
        <v>3</v>
      </c>
      <c r="C33" s="6" t="n">
        <v>1</v>
      </c>
      <c r="D33" s="8" t="inlineStr">
        <is>
          <t>耐放香蕉皮</t>
        </is>
      </c>
      <c r="E33" s="8" t="inlineStr">
        <is>
          <t>Long-Life Peels</t>
        </is>
      </c>
      <c r="F33" s="8" t="inlineStr">
        <is>
          <t>Peaux durables</t>
        </is>
      </c>
      <c r="G33" s="7" t="n">
        <v>50</v>
      </c>
      <c r="H33" s="8" t="inlineStr">
        <is>
          <t>香蕉皮保留 +6 秒</t>
        </is>
      </c>
      <c r="I33" s="8" t="inlineStr">
        <is>
          <t>Peels last 6 s longer</t>
        </is>
      </c>
      <c r="J33" s="8" t="inlineStr">
        <is>
          <t>Les peaux durent 6 s de plus</t>
        </is>
      </c>
      <c r="K33" s="7" t="inlineStr">
        <is>
          <t>peelLife+=6</t>
        </is>
      </c>
      <c r="L33" s="9">
        <f>SUMIFS($G$3:$G$143,$A$3:$A$143,A33,$B$3:$B$143,B33,$C$3:$C$143,"&lt;="&amp;C33)</f>
        <v/>
      </c>
    </row>
    <row r="34">
      <c r="A34" s="6" t="inlineStr">
        <is>
          <t>bomb</t>
        </is>
      </c>
      <c r="B34" s="6" t="n">
        <v>3</v>
      </c>
      <c r="C34" s="6" t="n">
        <v>2</v>
      </c>
      <c r="D34" s="8" t="inlineStr">
        <is>
          <t>备货</t>
        </is>
      </c>
      <c r="E34" s="8" t="inlineStr">
        <is>
          <t>Stockpile</t>
        </is>
      </c>
      <c r="F34" s="8" t="inlineStr">
        <is>
          <t>Réserve</t>
        </is>
      </c>
      <c r="G34" s="7" t="n">
        <v>100</v>
      </c>
      <c r="H34" s="8" t="inlineStr">
        <is>
          <t>场上最多香蕉皮 +3</t>
        </is>
      </c>
      <c r="I34" s="8" t="inlineStr">
        <is>
          <t>+3 max peels on the track</t>
        </is>
      </c>
      <c r="J34" s="8" t="inlineStr">
        <is>
          <t>+3 peaux max sur la piste</t>
        </is>
      </c>
      <c r="K34" s="7" t="inlineStr">
        <is>
          <t>peelMax+=3</t>
        </is>
      </c>
      <c r="L34" s="9">
        <f>SUMIFS($G$3:$G$143,$A$3:$A$143,A34,$B$3:$B$143,B34,$C$3:$C$143,"&lt;="&amp;C34)</f>
        <v/>
      </c>
    </row>
    <row r="35">
      <c r="A35" s="6" t="inlineStr">
        <is>
          <t>bomb</t>
        </is>
      </c>
      <c r="B35" s="6" t="n">
        <v>3</v>
      </c>
      <c r="C35" s="6" t="n">
        <v>3</v>
      </c>
      <c r="D35" s="8" t="inlineStr">
        <is>
          <t>自动补货</t>
        </is>
      </c>
      <c r="E35" s="8" t="inlineStr">
        <is>
          <t>Auto Restock</t>
        </is>
      </c>
      <c r="F35" s="8" t="inlineStr">
        <is>
          <t>Réassort auto</t>
        </is>
      </c>
      <c r="G35" s="7" t="n">
        <v>220</v>
      </c>
      <c r="H35" s="8" t="inlineStr">
        <is>
          <t>给你选定的路段补香蕉皮，没人时也会补</t>
        </is>
      </c>
      <c r="I35" s="8" t="inlineStr">
        <is>
          <t>Keeps your chosen stretch stocked, even when nobody is there</t>
        </is>
      </c>
      <c r="J35" s="8" t="inlineStr">
        <is>
          <t>Réapprovisionne le tronçon choisi, même sans coureur</t>
        </is>
      </c>
      <c r="K35" s="7" t="inlineStr">
        <is>
          <t>autoPeel=1</t>
        </is>
      </c>
      <c r="L35" s="9">
        <f>SUMIFS($G$3:$G$143,$A$3:$A$143,A35,$B$3:$B$143,B35,$C$3:$C$143,"&lt;="&amp;C35)</f>
        <v/>
      </c>
    </row>
    <row r="36">
      <c r="A36" s="6" t="inlineStr">
        <is>
          <t>bomb</t>
        </is>
      </c>
      <c r="B36" s="6" t="n">
        <v>3</v>
      </c>
      <c r="C36" s="6" t="n">
        <v>4</v>
      </c>
      <c r="D36" s="8" t="inlineStr">
        <is>
          <t>补货加速</t>
        </is>
      </c>
      <c r="E36" s="8" t="inlineStr">
        <is>
          <t>Fast Restock</t>
        </is>
      </c>
      <c r="F36" s="8" t="inlineStr">
        <is>
          <t>Réassort rapide</t>
        </is>
      </c>
      <c r="G36" s="7" t="n">
        <v>600</v>
      </c>
      <c r="H36" s="8" t="inlineStr">
        <is>
          <t>出手间隔 −30%</t>
        </is>
      </c>
      <c r="I36" s="8" t="inlineStr">
        <is>
          <t>Interval −30%</t>
        </is>
      </c>
      <c r="J36" s="8" t="inlineStr">
        <is>
          <t>Intervalle −30 %</t>
        </is>
      </c>
      <c r="K36" s="7" t="inlineStr">
        <is>
          <t>rate*=0.7</t>
        </is>
      </c>
      <c r="L36" s="9">
        <f>SUMIFS($G$3:$G$143,$A$3:$A$143,A36,$B$3:$B$143,B36,$C$3:$C$143,"&lt;="&amp;C36)</f>
        <v/>
      </c>
    </row>
    <row r="37">
      <c r="A37" s="6" t="inlineStr">
        <is>
          <t>bomb</t>
        </is>
      </c>
      <c r="B37" s="6" t="n">
        <v>3</v>
      </c>
      <c r="C37" s="6" t="n">
        <v>5</v>
      </c>
      <c r="D37" s="8" t="inlineStr">
        <is>
          <t>多组陷阱</t>
        </is>
      </c>
      <c r="E37" s="8" t="inlineStr">
        <is>
          <t>Minefield</t>
        </is>
      </c>
      <c r="F37" s="8" t="inlineStr">
        <is>
          <t>Champ de mines</t>
        </is>
      </c>
      <c r="G37" s="7" t="n">
        <v>1300</v>
      </c>
      <c r="H37" s="8" t="inlineStr">
        <is>
          <t>场上最多香蕉皮 +6，一次扔 2 片</t>
        </is>
      </c>
      <c r="I37" s="8" t="inlineStr">
        <is>
          <t>+6 max peels, throws 2 at a time</t>
        </is>
      </c>
      <c r="J37" s="8" t="inlineStr">
        <is>
          <t>+6 peaux max, en lance 2 à la fois</t>
        </is>
      </c>
      <c r="K37" s="7" t="inlineStr">
        <is>
          <t>peelMax+=6; bombs=2</t>
        </is>
      </c>
      <c r="L37" s="9">
        <f>SUMIFS($G$3:$G$143,$A$3:$A$143,A37,$B$3:$B$143,B37,$C$3:$C$143,"&lt;="&amp;C37)</f>
        <v/>
      </c>
    </row>
    <row r="38">
      <c r="A38" s="6" t="inlineStr">
        <is>
          <t>bomb</t>
        </is>
      </c>
      <c r="B38" s="6" t="n">
        <v>3</v>
      </c>
      <c r="C38" s="6" t="n">
        <v>6</v>
      </c>
      <c r="D38" s="8" t="inlineStr">
        <is>
          <t>香蕉皮仓库</t>
        </is>
      </c>
      <c r="E38" s="8" t="inlineStr">
        <is>
          <t>Peel Warehouse</t>
        </is>
      </c>
      <c r="F38" s="8" t="inlineStr">
        <is>
          <t>Entrepôt à peaux</t>
        </is>
      </c>
      <c r="G38" s="7" t="n">
        <v>3200</v>
      </c>
      <c r="H38" s="8" t="inlineStr">
        <is>
          <t>每波 90 片库存，可提前布阵，扔得飞快，每片多放倒 2 人；用完等下一波</t>
        </is>
      </c>
      <c r="I38" s="8" t="inlineStr">
        <is>
          <t>90 peels per wave to lay out in advance, thrown very fast, each trips 2 more; restocks next wave</t>
        </is>
      </c>
      <c r="J38" s="8" t="inlineStr">
        <is>
          <t>90 peaux par vague à poser d’avance, lancées très vite, chacune fait tomber 2 de plus ; réassort à la vague suivante</t>
        </is>
      </c>
      <c r="K38" s="7" t="inlineStr">
        <is>
          <t>stock=90; rate*=0.3; peelMax+=30; hitCap+=2</t>
        </is>
      </c>
      <c r="L38" s="9">
        <f>SUMIFS($G$3:$G$143,$A$3:$A$143,A38,$B$3:$B$143,B38,$C$3:$C$143,"&lt;="&amp;C38)</f>
        <v/>
      </c>
    </row>
    <row r="39">
      <c r="A39" s="6" t="inlineStr">
        <is>
          <t>frost</t>
        </is>
      </c>
      <c r="B39" s="6" t="n">
        <v>1</v>
      </c>
      <c r="C39" s="6" t="n">
        <v>1</v>
      </c>
      <c r="D39" s="8" t="inlineStr">
        <is>
          <t>喷头加长</t>
        </is>
      </c>
      <c r="E39" s="8" t="inlineStr">
        <is>
          <t>Longer Reach</t>
        </is>
      </c>
      <c r="F39" s="8" t="inlineStr">
        <is>
          <t>Portée accrue</t>
        </is>
      </c>
      <c r="G39" s="7" t="n">
        <v>60</v>
      </c>
      <c r="H39" s="8" t="inlineStr">
        <is>
          <t>射程 +15</t>
        </is>
      </c>
      <c r="I39" s="8" t="inlineStr">
        <is>
          <t>Range +15</t>
        </is>
      </c>
      <c r="J39" s="8" t="inlineStr">
        <is>
          <t>Portée +15</t>
        </is>
      </c>
      <c r="K39" s="7" t="inlineStr">
        <is>
          <t>range+=15</t>
        </is>
      </c>
      <c r="L39" s="9">
        <f>SUMIFS($G$3:$G$143,$A$3:$A$143,A39,$B$3:$B$143,B39,$C$3:$C$143,"&lt;="&amp;C39)</f>
        <v/>
      </c>
    </row>
    <row r="40">
      <c r="A40" s="6" t="inlineStr">
        <is>
          <t>frost</t>
        </is>
      </c>
      <c r="B40" s="6" t="n">
        <v>1</v>
      </c>
      <c r="C40" s="6" t="n">
        <v>2</v>
      </c>
      <c r="D40" s="8" t="inlineStr">
        <is>
          <t>湿地持久</t>
        </is>
      </c>
      <c r="E40" s="8" t="inlineStr">
        <is>
          <t>Lasting Puddles</t>
        </is>
      </c>
      <c r="F40" s="8" t="inlineStr">
        <is>
          <t>Flaques durables</t>
        </is>
      </c>
      <c r="G40" s="7" t="n">
        <v>80</v>
      </c>
      <c r="H40" s="8" t="inlineStr">
        <is>
          <t>湿滑持续 +1 秒</t>
        </is>
      </c>
      <c r="I40" s="8" t="inlineStr">
        <is>
          <t>Wet lasts 1 s longer</t>
        </is>
      </c>
      <c r="J40" s="8" t="inlineStr">
        <is>
          <t>Mouillé 1 s de plus</t>
        </is>
      </c>
      <c r="K40" s="7" t="inlineStr">
        <is>
          <t>slowDur+=1</t>
        </is>
      </c>
      <c r="L40" s="9">
        <f>SUMIFS($G$3:$G$143,$A$3:$A$143,A40,$B$3:$B$143,B40,$C$3:$C$143,"&lt;="&amp;C40)</f>
        <v/>
      </c>
    </row>
    <row r="41">
      <c r="A41" s="6" t="inlineStr">
        <is>
          <t>frost</t>
        </is>
      </c>
      <c r="B41" s="6" t="n">
        <v>1</v>
      </c>
      <c r="C41" s="6" t="n">
        <v>3</v>
      </c>
      <c r="D41" s="8" t="inlineStr">
        <is>
          <t>持续喷淋</t>
        </is>
      </c>
      <c r="E41" s="8" t="inlineStr">
        <is>
          <t>Steady Spray</t>
        </is>
      </c>
      <c r="F41" s="8" t="inlineStr">
        <is>
          <t>Arrosage continu</t>
        </is>
      </c>
      <c r="G41" s="7" t="n">
        <v>280</v>
      </c>
      <c r="H41" s="8" t="inlineStr">
        <is>
          <t>喷水间隔 −40%</t>
        </is>
      </c>
      <c r="I41" s="8" t="inlineStr">
        <is>
          <t>Spray interval −40%</t>
        </is>
      </c>
      <c r="J41" s="8" t="inlineStr">
        <is>
          <t>Intervalle −40 %</t>
        </is>
      </c>
      <c r="K41" s="7" t="inlineStr">
        <is>
          <t>rate*=0.6</t>
        </is>
      </c>
      <c r="L41" s="9">
        <f>SUMIFS($G$3:$G$143,$A$3:$A$143,A41,$B$3:$B$143,B41,$C$3:$C$143,"&lt;="&amp;C41)</f>
        <v/>
      </c>
    </row>
    <row r="42">
      <c r="A42" s="6" t="inlineStr">
        <is>
          <t>frost</t>
        </is>
      </c>
      <c r="B42" s="6" t="n">
        <v>1</v>
      </c>
      <c r="C42" s="6" t="n">
        <v>4</v>
      </c>
      <c r="D42" s="8" t="inlineStr">
        <is>
          <t>不间断</t>
        </is>
      </c>
      <c r="E42" s="8" t="inlineStr">
        <is>
          <t>Nonstop</t>
        </is>
      </c>
      <c r="F42" s="8" t="inlineStr">
        <is>
          <t>Non-stop</t>
        </is>
      </c>
      <c r="G42" s="7" t="n">
        <v>600</v>
      </c>
      <c r="H42" s="8" t="inlineStr">
        <is>
          <t>间隔再 −30%，减速 +5%</t>
        </is>
      </c>
      <c r="I42" s="8" t="inlineStr">
        <is>
          <t>Interval −30% more, slow +5%</t>
        </is>
      </c>
      <c r="J42" s="8" t="inlineStr">
        <is>
          <t>Intervalle encore −30 %, ralentissement +5 %</t>
        </is>
      </c>
      <c r="K42" s="7" t="inlineStr">
        <is>
          <t>rate*=0.7; slow+=0.05</t>
        </is>
      </c>
      <c r="L42" s="9">
        <f>SUMIFS($G$3:$G$143,$A$3:$A$143,A42,$B$3:$B$143,B42,$C$3:$C$143,"&lt;="&amp;C42)</f>
        <v/>
      </c>
    </row>
    <row r="43">
      <c r="A43" s="6" t="inlineStr">
        <is>
          <t>frost</t>
        </is>
      </c>
      <c r="B43" s="6" t="n">
        <v>1</v>
      </c>
      <c r="C43" s="6" t="n">
        <v>5</v>
      </c>
      <c r="D43" s="8" t="inlineStr">
        <is>
          <t>双喷头</t>
        </is>
      </c>
      <c r="E43" s="8" t="inlineStr">
        <is>
          <t>Twin Heads</t>
        </is>
      </c>
      <c r="F43" s="8" t="inlineStr">
        <is>
          <t>Double tête</t>
        </is>
      </c>
      <c r="G43" s="7" t="n">
        <v>1300</v>
      </c>
      <c r="H43" s="8" t="inlineStr">
        <is>
          <t>射程 +25，减速 +10%</t>
        </is>
      </c>
      <c r="I43" s="8" t="inlineStr">
        <is>
          <t>Range +25, slow +10%</t>
        </is>
      </c>
      <c r="J43" s="8" t="inlineStr">
        <is>
          <t>Portée +25, ralentissement +10 %</t>
        </is>
      </c>
      <c r="K43" s="7" t="inlineStr">
        <is>
          <t>range+=25; slow+=0.1</t>
        </is>
      </c>
      <c r="L43" s="9">
        <f>SUMIFS($G$3:$G$143,$A$3:$A$143,A43,$B$3:$B$143,B43,$C$3:$C$143,"&lt;="&amp;C43)</f>
        <v/>
      </c>
    </row>
    <row r="44">
      <c r="A44" s="6" t="inlineStr">
        <is>
          <t>frost</t>
        </is>
      </c>
      <c r="B44" s="6" t="n">
        <v>1</v>
      </c>
      <c r="C44" s="6" t="n">
        <v>6</v>
      </c>
      <c r="D44" s="8" t="inlineStr">
        <is>
          <t>暴雨喷淋站</t>
        </is>
      </c>
      <c r="E44" s="8" t="inlineStr">
        <is>
          <t>Storm Sprinklers</t>
        </is>
      </c>
      <c r="F44" s="8" t="inlineStr">
        <is>
          <t>Arrosage orage</t>
        </is>
      </c>
      <c r="G44" s="7" t="n">
        <v>3200</v>
      </c>
      <c r="H44" s="8" t="inlineStr">
        <is>
          <t>射程 +50，减速 60%，效果 +1.5；不能冻结</t>
        </is>
      </c>
      <c r="I44" s="8" t="inlineStr">
        <is>
          <t>Range +50, 60% slow, effect +1.5; cannot freeze</t>
        </is>
      </c>
      <c r="J44" s="8" t="inlineStr">
        <is>
          <t>Portée +50, ralentissement 60 %, effet +1,5 ; ne gèle pas</t>
        </is>
      </c>
      <c r="K44" s="7" t="inlineStr">
        <is>
          <t>range+=50; slow=0.6; dmg+=1.5; noFreeze=1</t>
        </is>
      </c>
      <c r="L44" s="9">
        <f>SUMIFS($G$3:$G$143,$A$3:$A$143,A44,$B$3:$B$143,B44,$C$3:$C$143,"&lt;="&amp;C44)</f>
        <v/>
      </c>
    </row>
    <row r="45">
      <c r="A45" s="6" t="inlineStr">
        <is>
          <t>frost</t>
        </is>
      </c>
      <c r="B45" s="6" t="n">
        <v>2</v>
      </c>
      <c r="C45" s="6" t="n">
        <v>1</v>
      </c>
      <c r="D45" s="8" t="inlineStr">
        <is>
          <t>冰水</t>
        </is>
      </c>
      <c r="E45" s="8" t="inlineStr">
        <is>
          <t>Cold Water</t>
        </is>
      </c>
      <c r="F45" s="8" t="inlineStr">
        <is>
          <t>Eau froide</t>
        </is>
      </c>
      <c r="G45" s="7" t="n">
        <v>45</v>
      </c>
      <c r="H45" s="8" t="inlineStr">
        <is>
          <t>减速 +10%</t>
        </is>
      </c>
      <c r="I45" s="8" t="inlineStr">
        <is>
          <t>Slow +10%</t>
        </is>
      </c>
      <c r="J45" s="8" t="inlineStr">
        <is>
          <t>Ralentissement +10 %</t>
        </is>
      </c>
      <c r="K45" s="7" t="inlineStr">
        <is>
          <t>slow+=0.1</t>
        </is>
      </c>
      <c r="L45" s="9">
        <f>SUMIFS($G$3:$G$143,$A$3:$A$143,A45,$B$3:$B$143,B45,$C$3:$C$143,"&lt;="&amp;C45)</f>
        <v/>
      </c>
    </row>
    <row r="46">
      <c r="A46" s="6" t="inlineStr">
        <is>
          <t>frost</t>
        </is>
      </c>
      <c r="B46" s="6" t="n">
        <v>2</v>
      </c>
      <c r="C46" s="6" t="n">
        <v>2</v>
      </c>
      <c r="D46" s="8" t="inlineStr">
        <is>
          <t>积霜</t>
        </is>
      </c>
      <c r="E46" s="8" t="inlineStr">
        <is>
          <t>Frost Build-Up</t>
        </is>
      </c>
      <c r="F46" s="8" t="inlineStr">
        <is>
          <t>Givre</t>
        </is>
      </c>
      <c r="G46" s="7" t="n">
        <v>80</v>
      </c>
      <c r="H46" s="8" t="inlineStr">
        <is>
          <t>连续被淋，减速逐渐加深（每层 +5%，最多 4 层）</t>
        </is>
      </c>
      <c r="I46" s="8" t="inlineStr">
        <is>
          <t>Repeated soaking deepens the slow (+5% per stack, max 4)</t>
        </is>
      </c>
      <c r="J46" s="8" t="inlineStr">
        <is>
          <t>Les arrosages répétés ralentissent davantage (+5 % par cumul, max 4)</t>
        </is>
      </c>
      <c r="K46" s="7" t="inlineStr">
        <is>
          <t>frostStack=0.05</t>
        </is>
      </c>
      <c r="L46" s="9">
        <f>SUMIFS($G$3:$G$143,$A$3:$A$143,A46,$B$3:$B$143,B46,$C$3:$C$143,"&lt;="&amp;C46)</f>
        <v/>
      </c>
    </row>
    <row r="47">
      <c r="A47" s="6" t="inlineStr">
        <is>
          <t>frost</t>
        </is>
      </c>
      <c r="B47" s="6" t="n">
        <v>2</v>
      </c>
      <c r="C47" s="6" t="n">
        <v>3</v>
      </c>
      <c r="D47" s="8" t="inlineStr">
        <is>
          <t>积霜冻结</t>
        </is>
      </c>
      <c r="E47" s="8" t="inlineStr">
        <is>
          <t>Freeze Point</t>
        </is>
      </c>
      <c r="F47" s="8" t="inlineStr">
        <is>
          <t>Point de gel</t>
        </is>
      </c>
      <c r="G47" s="7" t="n">
        <v>300</v>
      </c>
      <c r="H47" s="8" t="inlineStr">
        <is>
          <t>积满 4 层冻住 0.8 秒（非 Boss，每次最多 3 人）</t>
        </is>
      </c>
      <c r="I47" s="8" t="inlineStr">
        <is>
          <t>At 4 stacks, freeze for 0.8 s (non-boss, up to 3 at a time)</t>
        </is>
      </c>
      <c r="J47" s="8" t="inlineStr">
        <is>
          <t>À 4 cumuls, gel 0,8 s (hors boss, 3 à la fois)</t>
        </is>
      </c>
      <c r="K47" s="7" t="inlineStr">
        <is>
          <t>freeze=0.8; freezeCap=3</t>
        </is>
      </c>
      <c r="L47" s="9">
        <f>SUMIFS($G$3:$G$143,$A$3:$A$143,A47,$B$3:$B$143,B47,$C$3:$C$143,"&lt;="&amp;C47)</f>
        <v/>
      </c>
    </row>
    <row r="48">
      <c r="A48" s="6" t="inlineStr">
        <is>
          <t>frost</t>
        </is>
      </c>
      <c r="B48" s="6" t="n">
        <v>2</v>
      </c>
      <c r="C48" s="6" t="n">
        <v>4</v>
      </c>
      <c r="D48" s="8" t="inlineStr">
        <is>
          <t>快速积霜</t>
        </is>
      </c>
      <c r="E48" s="8" t="inlineStr">
        <is>
          <t>Fast Frost</t>
        </is>
      </c>
      <c r="F48" s="8" t="inlineStr">
        <is>
          <t>Givre rapide</t>
        </is>
      </c>
      <c r="G48" s="7" t="n">
        <v>650</v>
      </c>
      <c r="H48" s="8" t="inlineStr">
        <is>
          <t>3 层就冻住</t>
        </is>
      </c>
      <c r="I48" s="8" t="inlineStr">
        <is>
          <t>Freezes at 3 stacks</t>
        </is>
      </c>
      <c r="J48" s="8" t="inlineStr">
        <is>
          <t>Gèle à 3 cumuls</t>
        </is>
      </c>
      <c r="K48" s="7" t="inlineStr">
        <is>
          <t>frostNeed=3</t>
        </is>
      </c>
      <c r="L48" s="9">
        <f>SUMIFS($G$3:$G$143,$A$3:$A$143,A48,$B$3:$B$143,B48,$C$3:$C$143,"&lt;="&amp;C48)</f>
        <v/>
      </c>
    </row>
    <row r="49">
      <c r="A49" s="6" t="inlineStr">
        <is>
          <t>frost</t>
        </is>
      </c>
      <c r="B49" s="6" t="n">
        <v>2</v>
      </c>
      <c r="C49" s="6" t="n">
        <v>5</v>
      </c>
      <c r="D49" s="8" t="inlineStr">
        <is>
          <t>群体冻结</t>
        </is>
      </c>
      <c r="E49" s="8" t="inlineStr">
        <is>
          <t>Group Freeze</t>
        </is>
      </c>
      <c r="F49" s="8" t="inlineStr">
        <is>
          <t>Gel de groupe</t>
        </is>
      </c>
      <c r="G49" s="7" t="n">
        <v>1400</v>
      </c>
      <c r="H49" s="8" t="inlineStr">
        <is>
          <t>冻结 1.2 秒，每次最多冻 6 人</t>
        </is>
      </c>
      <c r="I49" s="8" t="inlineStr">
        <is>
          <t>Freeze 1.2 s, up to 6 at a time</t>
        </is>
      </c>
      <c r="J49" s="8" t="inlineStr">
        <is>
          <t>Gel 1,2 s, jusqu’à 6 à la fois</t>
        </is>
      </c>
      <c r="K49" s="7" t="inlineStr">
        <is>
          <t>freeze=1.2; freezeCap=6</t>
        </is>
      </c>
      <c r="L49" s="9">
        <f>SUMIFS($G$3:$G$143,$A$3:$A$143,A49,$B$3:$B$143,B49,$C$3:$C$143,"&lt;="&amp;C49)</f>
        <v/>
      </c>
    </row>
    <row r="50">
      <c r="A50" s="6" t="inlineStr">
        <is>
          <t>frost</t>
        </is>
      </c>
      <c r="B50" s="6" t="n">
        <v>2</v>
      </c>
      <c r="C50" s="6" t="n">
        <v>6</v>
      </c>
      <c r="D50" s="8" t="inlineStr">
        <is>
          <t>极寒喷淋站</t>
        </is>
      </c>
      <c r="E50" s="8" t="inlineStr">
        <is>
          <t>Deep-Freeze Station</t>
        </is>
      </c>
      <c r="F50" s="8" t="inlineStr">
        <is>
          <t>Station de grand froid</t>
        </is>
      </c>
      <c r="G50" s="7" t="n">
        <v>3400</v>
      </c>
      <c r="H50" s="8" t="inlineStr">
        <is>
          <t>每 5 秒冻住范围内所有非 Boss 跑者 2 秒，被冻住的受到效果 +60%，喷水效果 +2；期间不再积霜冻结</t>
        </is>
      </c>
      <c r="I50" s="8" t="inlineStr">
        <is>
          <t>Every 5 s freezes every non-boss in range for 2 s; frozen runners take +60%, spray effect +2; no stack freezes in between</t>
        </is>
      </c>
      <c r="J50" s="8" t="inlineStr">
        <is>
          <t>Toutes les 5 s, gèle 2 s tous les non-boss à portée ; les gelés subissent +60 %, effet du jet +2 ; pas de gel par cumul entre-temps</t>
        </is>
      </c>
      <c r="K50" s="7" t="inlineStr">
        <is>
          <t>iceNova=5; vulnFreeze=0.6; dmg+=2</t>
        </is>
      </c>
      <c r="L50" s="9">
        <f>SUMIFS($G$3:$G$143,$A$3:$A$143,A50,$B$3:$B$143,B50,$C$3:$C$143,"&lt;="&amp;C50)</f>
        <v/>
      </c>
    </row>
    <row r="51">
      <c r="A51" s="6" t="inlineStr">
        <is>
          <t>frost</t>
        </is>
      </c>
      <c r="B51" s="6" t="n">
        <v>3</v>
      </c>
      <c r="C51" s="6" t="n">
        <v>1</v>
      </c>
      <c r="D51" s="8" t="inlineStr">
        <is>
          <t>加压</t>
        </is>
      </c>
      <c r="E51" s="8" t="inlineStr">
        <is>
          <t>Pressure Up</t>
        </is>
      </c>
      <c r="F51" s="8" t="inlineStr">
        <is>
          <t>Pression</t>
        </is>
      </c>
      <c r="G51" s="7" t="n">
        <v>60</v>
      </c>
      <c r="H51" s="8" t="inlineStr">
        <is>
          <t>射程 +20</t>
        </is>
      </c>
      <c r="I51" s="8" t="inlineStr">
        <is>
          <t>Range +20</t>
        </is>
      </c>
      <c r="J51" s="8" t="inlineStr">
        <is>
          <t>Portée +20</t>
        </is>
      </c>
      <c r="K51" s="7" t="inlineStr">
        <is>
          <t>range+=20</t>
        </is>
      </c>
      <c r="L51" s="9">
        <f>SUMIFS($G$3:$G$143,$A$3:$A$143,A51,$B$3:$B$143,B51,$C$3:$C$143,"&lt;="&amp;C51)</f>
        <v/>
      </c>
    </row>
    <row r="52">
      <c r="A52" s="6" t="inlineStr">
        <is>
          <t>frost</t>
        </is>
      </c>
      <c r="B52" s="6" t="n">
        <v>3</v>
      </c>
      <c r="C52" s="6" t="n">
        <v>2</v>
      </c>
      <c r="D52" s="8" t="inlineStr">
        <is>
          <t>宽喷束</t>
        </is>
      </c>
      <c r="E52" s="8" t="inlineStr">
        <is>
          <t>Wide Jet</t>
        </is>
      </c>
      <c r="F52" s="8" t="inlineStr">
        <is>
          <t>Jet large</t>
        </is>
      </c>
      <c r="G52" s="7" t="n">
        <v>110</v>
      </c>
      <c r="H52" s="8" t="inlineStr">
        <is>
          <t>效果 +0.5</t>
        </is>
      </c>
      <c r="I52" s="8" t="inlineStr">
        <is>
          <t>Effect +0.5</t>
        </is>
      </c>
      <c r="J52" s="8" t="inlineStr">
        <is>
          <t>Effet +0,5</t>
        </is>
      </c>
      <c r="K52" s="7" t="inlineStr">
        <is>
          <t>dmg+=0.5</t>
        </is>
      </c>
      <c r="L52" s="9">
        <f>SUMIFS($G$3:$G$143,$A$3:$A$143,A52,$B$3:$B$143,B52,$C$3:$C$143,"&lt;="&amp;C52)</f>
        <v/>
      </c>
    </row>
    <row r="53">
      <c r="A53" s="6" t="inlineStr">
        <is>
          <t>frost</t>
        </is>
      </c>
      <c r="B53" s="6" t="n">
        <v>3</v>
      </c>
      <c r="C53" s="6" t="n">
        <v>3</v>
      </c>
      <c r="D53" s="8" t="inlineStr">
        <is>
          <t>击退</t>
        </is>
      </c>
      <c r="E53" s="8" t="inlineStr">
        <is>
          <t>Push Back</t>
        </is>
      </c>
      <c r="F53" s="8" t="inlineStr">
        <is>
          <t>Recul</t>
        </is>
      </c>
      <c r="G53" s="7" t="n">
        <v>300</v>
      </c>
      <c r="H53" s="8" t="inlineStr">
        <is>
          <t>把非 Boss 跑者往回冲 12</t>
        </is>
      </c>
      <c r="I53" s="8" t="inlineStr">
        <is>
          <t>Pushes non-boss runners back 12</t>
        </is>
      </c>
      <c r="J53" s="8" t="inlineStr">
        <is>
          <t>Repousse les non-boss de 12</t>
        </is>
      </c>
      <c r="K53" s="7" t="inlineStr">
        <is>
          <t>knock=12</t>
        </is>
      </c>
      <c r="L53" s="9">
        <f>SUMIFS($G$3:$G$143,$A$3:$A$143,A53,$B$3:$B$143,B53,$C$3:$C$143,"&lt;="&amp;C53)</f>
        <v/>
      </c>
    </row>
    <row r="54">
      <c r="A54" s="6" t="inlineStr">
        <is>
          <t>frost</t>
        </is>
      </c>
      <c r="B54" s="6" t="n">
        <v>3</v>
      </c>
      <c r="C54" s="6" t="n">
        <v>4</v>
      </c>
      <c r="D54" s="8" t="inlineStr">
        <is>
          <t>穿透水柱</t>
        </is>
      </c>
      <c r="E54" s="8" t="inlineStr">
        <is>
          <t>Piercing Jet</t>
        </is>
      </c>
      <c r="F54" s="8" t="inlineStr">
        <is>
          <t>Jet perçant</t>
        </is>
      </c>
      <c r="G54" s="7" t="n">
        <v>550</v>
      </c>
      <c r="H54" s="8" t="inlineStr">
        <is>
          <t>改成直线水柱，穿过整排跑者，射程 +30，效果 +1.5</t>
        </is>
      </c>
      <c r="I54" s="8" t="inlineStr">
        <is>
          <t>Becomes a straight jet that pierces the whole line, range +30, effect +1.5</t>
        </is>
      </c>
      <c r="J54" s="8" t="inlineStr">
        <is>
          <t>Devient un jet droit qui traverse toute la file, portée +30, effet +1,5</t>
        </is>
      </c>
      <c r="K54" s="7" t="inlineStr">
        <is>
          <t>beam=1; dmg+=1.5; range+=30</t>
        </is>
      </c>
      <c r="L54" s="9">
        <f>SUMIFS($G$3:$G$143,$A$3:$A$143,A54,$B$3:$B$143,B54,$C$3:$C$143,"&lt;="&amp;C54)</f>
        <v/>
      </c>
    </row>
    <row r="55">
      <c r="A55" s="6" t="inlineStr">
        <is>
          <t>frost</t>
        </is>
      </c>
      <c r="B55" s="6" t="n">
        <v>3</v>
      </c>
      <c r="C55" s="6" t="n">
        <v>5</v>
      </c>
      <c r="D55" s="8" t="inlineStr">
        <is>
          <t>强力冲洗</t>
        </is>
      </c>
      <c r="E55" s="8" t="inlineStr">
        <is>
          <t>Power Wash</t>
        </is>
      </c>
      <c r="F55" s="8" t="inlineStr">
        <is>
          <t>Lavage haute pression</t>
        </is>
      </c>
      <c r="G55" s="7" t="n">
        <v>1400</v>
      </c>
      <c r="H55" s="8" t="inlineStr">
        <is>
          <t>效果 ×2，击退 +10</t>
        </is>
      </c>
      <c r="I55" s="8" t="inlineStr">
        <is>
          <t>Effect ×2, push +10</t>
        </is>
      </c>
      <c r="J55" s="8" t="inlineStr">
        <is>
          <t>Effet ×2, recul +10</t>
        </is>
      </c>
      <c r="K55" s="7" t="inlineStr">
        <is>
          <t>dmg*=2; knock+=10</t>
        </is>
      </c>
      <c r="L55" s="9">
        <f>SUMIFS($G$3:$G$143,$A$3:$A$143,A55,$B$3:$B$143,B55,$C$3:$C$143,"&lt;="&amp;C55)</f>
        <v/>
      </c>
    </row>
    <row r="56">
      <c r="A56" s="6" t="inlineStr">
        <is>
          <t>frost</t>
        </is>
      </c>
      <c r="B56" s="6" t="n">
        <v>3</v>
      </c>
      <c r="C56" s="6" t="n">
        <v>6</v>
      </c>
      <c r="D56" s="8" t="inlineStr">
        <is>
          <t>高压冲洗车</t>
        </is>
      </c>
      <c r="E56" s="8" t="inlineStr">
        <is>
          <t>Jet Truck</t>
        </is>
      </c>
      <c r="F56" s="8" t="inlineStr">
        <is>
          <t>Camion haute pression</t>
        </is>
      </c>
      <c r="G56" s="7" t="n">
        <v>3400</v>
      </c>
      <c r="H56" s="8" t="inlineStr">
        <is>
          <t>效果 ×3，击退 40；只能沿直线打，看跑道朝向</t>
        </is>
      </c>
      <c r="I56" s="8" t="inlineStr">
        <is>
          <t>Effect ×3, push 40; straight line only, depends on the road</t>
        </is>
      </c>
      <c r="J56" s="8" t="inlineStr">
        <is>
          <t>Effet ×3, recul 40 ; ligne droite seulement, dépend de la route</t>
        </is>
      </c>
      <c r="K56" s="7" t="inlineStr">
        <is>
          <t>dmg*=3; knock=40</t>
        </is>
      </c>
      <c r="L56" s="9">
        <f>SUMIFS($G$3:$G$143,$A$3:$A$143,A56,$B$3:$B$143,B56,$C$3:$C$143,"&lt;="&amp;C56)</f>
        <v/>
      </c>
    </row>
    <row r="57">
      <c r="A57" s="6" t="inlineStr">
        <is>
          <t>truck</t>
        </is>
      </c>
      <c r="B57" s="6" t="n">
        <v>1</v>
      </c>
      <c r="C57" s="6" t="n">
        <v>1</v>
      </c>
      <c r="D57" s="8" t="inlineStr">
        <is>
          <t>加长水管</t>
        </is>
      </c>
      <c r="E57" s="8" t="inlineStr">
        <is>
          <t>Longer Hose</t>
        </is>
      </c>
      <c r="F57" s="8" t="inlineStr">
        <is>
          <t>Tuyau rallongé</t>
        </is>
      </c>
      <c r="G57" s="7" t="n">
        <v>60</v>
      </c>
      <c r="H57" s="8" t="inlineStr">
        <is>
          <t>活动范围 +25，射程 +5</t>
        </is>
      </c>
      <c r="I57" s="8" t="inlineStr">
        <is>
          <t>Patrol +25, range +5</t>
        </is>
      </c>
      <c r="J57" s="8" t="inlineStr">
        <is>
          <t>Patrouille +25, portée +5</t>
        </is>
      </c>
      <c r="K57" s="7" t="inlineStr">
        <is>
          <t>patrol+=25; range+=5</t>
        </is>
      </c>
      <c r="L57" s="9">
        <f>SUMIFS($G$3:$G$143,$A$3:$A$143,A57,$B$3:$B$143,B57,$C$3:$C$143,"&lt;="&amp;C57)</f>
        <v/>
      </c>
    </row>
    <row r="58">
      <c r="A58" s="6" t="inlineStr">
        <is>
          <t>truck</t>
        </is>
      </c>
      <c r="B58" s="6" t="n">
        <v>1</v>
      </c>
      <c r="C58" s="6" t="n">
        <v>2</v>
      </c>
      <c r="D58" s="8" t="inlineStr">
        <is>
          <t>大马力</t>
        </is>
      </c>
      <c r="E58" s="8" t="inlineStr">
        <is>
          <t>Big Engine</t>
        </is>
      </c>
      <c r="F58" s="8" t="inlineStr">
        <is>
          <t>Gros moteur</t>
        </is>
      </c>
      <c r="G58" s="7" t="n">
        <v>90</v>
      </c>
      <c r="H58" s="8" t="inlineStr">
        <is>
          <t>车速 +40%</t>
        </is>
      </c>
      <c r="I58" s="8" t="inlineStr">
        <is>
          <t>Drives 40% faster</t>
        </is>
      </c>
      <c r="J58" s="8" t="inlineStr">
        <is>
          <t>Roule 40 % plus vite</t>
        </is>
      </c>
      <c r="K58" s="7" t="inlineStr">
        <is>
          <t>drive*=1.4</t>
        </is>
      </c>
      <c r="L58" s="9">
        <f>SUMIFS($G$3:$G$143,$A$3:$A$143,A58,$B$3:$B$143,B58,$C$3:$C$143,"&lt;="&amp;C58)</f>
        <v/>
      </c>
    </row>
    <row r="59">
      <c r="A59" s="6" t="inlineStr">
        <is>
          <t>truck</t>
        </is>
      </c>
      <c r="B59" s="6" t="n">
        <v>1</v>
      </c>
      <c r="C59" s="6" t="n">
        <v>3</v>
      </c>
      <c r="D59" s="8" t="inlineStr">
        <is>
          <t>双侧喷头</t>
        </is>
      </c>
      <c r="E59" s="8" t="inlineStr">
        <is>
          <t>Side Nozzles</t>
        </is>
      </c>
      <c r="F59" s="8" t="inlineStr">
        <is>
          <t>Buses latérales</t>
        </is>
      </c>
      <c r="G59" s="7" t="n">
        <v>300</v>
      </c>
      <c r="H59" s="8" t="inlineStr">
        <is>
          <t>喷水间隔 −35%</t>
        </is>
      </c>
      <c r="I59" s="8" t="inlineStr">
        <is>
          <t>Spray interval −35%</t>
        </is>
      </c>
      <c r="J59" s="8" t="inlineStr">
        <is>
          <t>Intervalle −35 %</t>
        </is>
      </c>
      <c r="K59" s="7" t="inlineStr">
        <is>
          <t>rate*=0.65</t>
        </is>
      </c>
      <c r="L59" s="9">
        <f>SUMIFS($G$3:$G$143,$A$3:$A$143,A59,$B$3:$B$143,B59,$C$3:$C$143,"&lt;="&amp;C59)</f>
        <v/>
      </c>
    </row>
    <row r="60">
      <c r="A60" s="6" t="inlineStr">
        <is>
          <t>truck</t>
        </is>
      </c>
      <c r="B60" s="6" t="n">
        <v>1</v>
      </c>
      <c r="C60" s="6" t="n">
        <v>4</v>
      </c>
      <c r="D60" s="8" t="inlineStr">
        <is>
          <t>环卫编组</t>
        </is>
      </c>
      <c r="E60" s="8" t="inlineStr">
        <is>
          <t>Street Crew</t>
        </is>
      </c>
      <c r="F60" s="8" t="inlineStr">
        <is>
          <t>Équipe de voirie</t>
        </is>
      </c>
      <c r="G60" s="7" t="n">
        <v>650</v>
      </c>
      <c r="H60" s="8" t="inlineStr">
        <is>
          <t>间隔再 −30%，减速 +5%，活动范围 +20</t>
        </is>
      </c>
      <c r="I60" s="8" t="inlineStr">
        <is>
          <t>Interval −30% more, slow +5%, patrol +20</t>
        </is>
      </c>
      <c r="J60" s="8" t="inlineStr">
        <is>
          <t>Intervalle encore −30 %, ralentissement +5 %, patrouille +20</t>
        </is>
      </c>
      <c r="K60" s="7" t="inlineStr">
        <is>
          <t>rate*=0.7; slow+=0.05; patrol+=20</t>
        </is>
      </c>
      <c r="L60" s="9">
        <f>SUMIFS($G$3:$G$143,$A$3:$A$143,A60,$B$3:$B$143,B60,$C$3:$C$143,"&lt;="&amp;C60)</f>
        <v/>
      </c>
    </row>
    <row r="61">
      <c r="A61" s="6" t="inlineStr">
        <is>
          <t>truck</t>
        </is>
      </c>
      <c r="B61" s="6" t="n">
        <v>1</v>
      </c>
      <c r="C61" s="6" t="n">
        <v>5</v>
      </c>
      <c r="D61" s="8" t="inlineStr">
        <is>
          <t>夜班加班</t>
        </is>
      </c>
      <c r="E61" s="8" t="inlineStr">
        <is>
          <t>Night Shift</t>
        </is>
      </c>
      <c r="F61" s="8" t="inlineStr">
        <is>
          <t>Service de nuit</t>
        </is>
      </c>
      <c r="G61" s="7" t="n">
        <v>1400</v>
      </c>
      <c r="H61" s="8" t="inlineStr">
        <is>
          <t>射程 +20，减速 +10%，效果 +0.5</t>
        </is>
      </c>
      <c r="I61" s="8" t="inlineStr">
        <is>
          <t>Range +20, slow +10%, effect +0.5</t>
        </is>
      </c>
      <c r="J61" s="8" t="inlineStr">
        <is>
          <t>Portée +20, ralentissement +10 %, effet +0,5</t>
        </is>
      </c>
      <c r="K61" s="7" t="inlineStr">
        <is>
          <t>range+=20; slow+=0.1; dmg+=0.5</t>
        </is>
      </c>
      <c r="L61" s="9">
        <f>SUMIFS($G$3:$G$143,$A$3:$A$143,A61,$B$3:$B$143,B61,$C$3:$C$143,"&lt;="&amp;C61)</f>
        <v/>
      </c>
    </row>
    <row r="62">
      <c r="A62" s="6" t="inlineStr">
        <is>
          <t>truck</t>
        </is>
      </c>
      <c r="B62" s="6" t="n">
        <v>1</v>
      </c>
      <c r="C62" s="6" t="n">
        <v>6</v>
      </c>
      <c r="D62" s="8" t="inlineStr">
        <is>
          <t>暴雨洒水车</t>
        </is>
      </c>
      <c r="E62" s="8" t="inlineStr">
        <is>
          <t>Rainstorm Truck</t>
        </is>
      </c>
      <c r="F62" s="8" t="inlineStr">
        <is>
          <t>Camion orage</t>
        </is>
      </c>
      <c r="G62" s="7" t="n">
        <v>3400</v>
      </c>
      <c r="H62" s="8" t="inlineStr">
        <is>
          <t>射程 +45，活动范围 +30，减速 60%，效果 +1.5；不能冻结</t>
        </is>
      </c>
      <c r="I62" s="8" t="inlineStr">
        <is>
          <t>Range +45, patrol +30, 60% slow, effect +1.5; cannot freeze</t>
        </is>
      </c>
      <c r="J62" s="8" t="inlineStr">
        <is>
          <t>Portée +45, patrouille +30, ralentissement 60 %, effet +1,5 ; ne gèle pas</t>
        </is>
      </c>
      <c r="K62" s="7" t="inlineStr">
        <is>
          <t>range+=45; patrol+=30; slow=0.6; dmg+=1.5; noFreeze=1</t>
        </is>
      </c>
      <c r="L62" s="9">
        <f>SUMIFS($G$3:$G$143,$A$3:$A$143,A62,$B$3:$B$143,B62,$C$3:$C$143,"&lt;="&amp;C62)</f>
        <v/>
      </c>
    </row>
    <row r="63">
      <c r="A63" s="6" t="inlineStr">
        <is>
          <t>truck</t>
        </is>
      </c>
      <c r="B63" s="6" t="n">
        <v>2</v>
      </c>
      <c r="C63" s="6" t="n">
        <v>1</v>
      </c>
      <c r="D63" s="8" t="inlineStr">
        <is>
          <t>冰水罐</t>
        </is>
      </c>
      <c r="E63" s="8" t="inlineStr">
        <is>
          <t>Ice Tank</t>
        </is>
      </c>
      <c r="F63" s="8" t="inlineStr">
        <is>
          <t>Citerne glacée</t>
        </is>
      </c>
      <c r="G63" s="7" t="n">
        <v>50</v>
      </c>
      <c r="H63" s="8" t="inlineStr">
        <is>
          <t>减速 +10%</t>
        </is>
      </c>
      <c r="I63" s="8" t="inlineStr">
        <is>
          <t>Slow +10%</t>
        </is>
      </c>
      <c r="J63" s="8" t="inlineStr">
        <is>
          <t>Ralentissement +10 %</t>
        </is>
      </c>
      <c r="K63" s="7" t="inlineStr">
        <is>
          <t>slow+=0.1</t>
        </is>
      </c>
      <c r="L63" s="9">
        <f>SUMIFS($G$3:$G$143,$A$3:$A$143,A63,$B$3:$B$143,B63,$C$3:$C$143,"&lt;="&amp;C63)</f>
        <v/>
      </c>
    </row>
    <row r="64">
      <c r="A64" s="6" t="inlineStr">
        <is>
          <t>truck</t>
        </is>
      </c>
      <c r="B64" s="6" t="n">
        <v>2</v>
      </c>
      <c r="C64" s="6" t="n">
        <v>2</v>
      </c>
      <c r="D64" s="8" t="inlineStr">
        <is>
          <t>积霜</t>
        </is>
      </c>
      <c r="E64" s="8" t="inlineStr">
        <is>
          <t>Frost Build-Up</t>
        </is>
      </c>
      <c r="F64" s="8" t="inlineStr">
        <is>
          <t>Givre</t>
        </is>
      </c>
      <c r="G64" s="7" t="n">
        <v>85</v>
      </c>
      <c r="H64" s="8" t="inlineStr">
        <is>
          <t>连续被淋，减速逐渐加深（每层 +5%，最多 4 层）</t>
        </is>
      </c>
      <c r="I64" s="8" t="inlineStr">
        <is>
          <t>Repeated soaking deepens the slow (+5% per stack, max 4)</t>
        </is>
      </c>
      <c r="J64" s="8" t="inlineStr">
        <is>
          <t>Les arrosages répétés ralentissent davantage (+5 % par cumul, max 4)</t>
        </is>
      </c>
      <c r="K64" s="7" t="inlineStr">
        <is>
          <t>frostStack=0.05</t>
        </is>
      </c>
      <c r="L64" s="9">
        <f>SUMIFS($G$3:$G$143,$A$3:$A$143,A64,$B$3:$B$143,B64,$C$3:$C$143,"&lt;="&amp;C64)</f>
        <v/>
      </c>
    </row>
    <row r="65">
      <c r="A65" s="6" t="inlineStr">
        <is>
          <t>truck</t>
        </is>
      </c>
      <c r="B65" s="6" t="n">
        <v>2</v>
      </c>
      <c r="C65" s="6" t="n">
        <v>3</v>
      </c>
      <c r="D65" s="8" t="inlineStr">
        <is>
          <t>积霜冻结</t>
        </is>
      </c>
      <c r="E65" s="8" t="inlineStr">
        <is>
          <t>Freeze Point</t>
        </is>
      </c>
      <c r="F65" s="8" t="inlineStr">
        <is>
          <t>Point de gel</t>
        </is>
      </c>
      <c r="G65" s="7" t="n">
        <v>320</v>
      </c>
      <c r="H65" s="8" t="inlineStr">
        <is>
          <t>积满 4 层冻住 0.8 秒（非 Boss，每次最多 3 人）</t>
        </is>
      </c>
      <c r="I65" s="8" t="inlineStr">
        <is>
          <t>At 4 stacks, freeze for 0.8 s (non-boss, up to 3 at a time)</t>
        </is>
      </c>
      <c r="J65" s="8" t="inlineStr">
        <is>
          <t>À 4 cumuls, gel 0,8 s (hors boss, 3 à la fois)</t>
        </is>
      </c>
      <c r="K65" s="7" t="inlineStr">
        <is>
          <t>freeze=0.8; freezeCap=3</t>
        </is>
      </c>
      <c r="L65" s="9">
        <f>SUMIFS($G$3:$G$143,$A$3:$A$143,A65,$B$3:$B$143,B65,$C$3:$C$143,"&lt;="&amp;C65)</f>
        <v/>
      </c>
    </row>
    <row r="66">
      <c r="A66" s="6" t="inlineStr">
        <is>
          <t>truck</t>
        </is>
      </c>
      <c r="B66" s="6" t="n">
        <v>2</v>
      </c>
      <c r="C66" s="6" t="n">
        <v>4</v>
      </c>
      <c r="D66" s="8" t="inlineStr">
        <is>
          <t>快速积霜</t>
        </is>
      </c>
      <c r="E66" s="8" t="inlineStr">
        <is>
          <t>Fast Frost</t>
        </is>
      </c>
      <c r="F66" s="8" t="inlineStr">
        <is>
          <t>Givre rapide</t>
        </is>
      </c>
      <c r="G66" s="7" t="n">
        <v>680</v>
      </c>
      <c r="H66" s="8" t="inlineStr">
        <is>
          <t>3 层就冻住</t>
        </is>
      </c>
      <c r="I66" s="8" t="inlineStr">
        <is>
          <t>Freezes at 3 stacks</t>
        </is>
      </c>
      <c r="J66" s="8" t="inlineStr">
        <is>
          <t>Gèle à 3 cumuls</t>
        </is>
      </c>
      <c r="K66" s="7" t="inlineStr">
        <is>
          <t>frostNeed=3</t>
        </is>
      </c>
      <c r="L66" s="9">
        <f>SUMIFS($G$3:$G$143,$A$3:$A$143,A66,$B$3:$B$143,B66,$C$3:$C$143,"&lt;="&amp;C66)</f>
        <v/>
      </c>
    </row>
    <row r="67">
      <c r="A67" s="6" t="inlineStr">
        <is>
          <t>truck</t>
        </is>
      </c>
      <c r="B67" s="6" t="n">
        <v>2</v>
      </c>
      <c r="C67" s="6" t="n">
        <v>5</v>
      </c>
      <c r="D67" s="8" t="inlineStr">
        <is>
          <t>群体冻结</t>
        </is>
      </c>
      <c r="E67" s="8" t="inlineStr">
        <is>
          <t>Group Freeze</t>
        </is>
      </c>
      <c r="F67" s="8" t="inlineStr">
        <is>
          <t>Gel de groupe</t>
        </is>
      </c>
      <c r="G67" s="7" t="n">
        <v>1450</v>
      </c>
      <c r="H67" s="8" t="inlineStr">
        <is>
          <t>冻结 1.2 秒，每次最多冻 6 人</t>
        </is>
      </c>
      <c r="I67" s="8" t="inlineStr">
        <is>
          <t>Freeze 1.2 s, up to 6 at a time</t>
        </is>
      </c>
      <c r="J67" s="8" t="inlineStr">
        <is>
          <t>Gel 1,2 s, jusqu’à 6 à la fois</t>
        </is>
      </c>
      <c r="K67" s="7" t="inlineStr">
        <is>
          <t>freeze=1.2; freezeCap=6</t>
        </is>
      </c>
      <c r="L67" s="9">
        <f>SUMIFS($G$3:$G$143,$A$3:$A$143,A67,$B$3:$B$143,B67,$C$3:$C$143,"&lt;="&amp;C67)</f>
        <v/>
      </c>
    </row>
    <row r="68">
      <c r="A68" s="6" t="inlineStr">
        <is>
          <t>truck</t>
        </is>
      </c>
      <c r="B68" s="6" t="n">
        <v>2</v>
      </c>
      <c r="C68" s="6" t="n">
        <v>6</v>
      </c>
      <c r="D68" s="8" t="inlineStr">
        <is>
          <t>冷链冰车</t>
        </is>
      </c>
      <c r="E68" s="8" t="inlineStr">
        <is>
          <t>Freezer Truck</t>
        </is>
      </c>
      <c r="F68" s="8" t="inlineStr">
        <is>
          <t>Camion frigorifique</t>
        </is>
      </c>
      <c r="G68" s="7" t="n">
        <v>3500</v>
      </c>
      <c r="H68" s="8" t="inlineStr">
        <is>
          <t>每 5 秒冻住车边所有非 Boss 跑者 2 秒，被冻住的受到效果 +60%，喷水效果 +2；期间不再积霜冻结</t>
        </is>
      </c>
      <c r="I68" s="8" t="inlineStr">
        <is>
          <t>Every 5 s freezes every non-boss around the truck for 2 s; frozen runners take +60%, spray effect +2; no stack freezes in between</t>
        </is>
      </c>
      <c r="J68" s="8" t="inlineStr">
        <is>
          <t>Toutes les 5 s, gèle 2 s tous les non-boss autour du camion ; les gelés subissent +60 %, effet du jet +2 ; pas de gel par cumul entre-temps</t>
        </is>
      </c>
      <c r="K68" s="7" t="inlineStr">
        <is>
          <t>iceNova=5; vulnFreeze=0.6; dmg+=2</t>
        </is>
      </c>
      <c r="L68" s="9">
        <f>SUMIFS($G$3:$G$143,$A$3:$A$143,A68,$B$3:$B$143,B68,$C$3:$C$143,"&lt;="&amp;C68)</f>
        <v/>
      </c>
    </row>
    <row r="69">
      <c r="A69" s="6" t="inlineStr">
        <is>
          <t>truck</t>
        </is>
      </c>
      <c r="B69" s="6" t="n">
        <v>3</v>
      </c>
      <c r="C69" s="6" t="n">
        <v>1</v>
      </c>
      <c r="D69" s="8" t="inlineStr">
        <is>
          <t>加压</t>
        </is>
      </c>
      <c r="E69" s="8" t="inlineStr">
        <is>
          <t>Pressure Up</t>
        </is>
      </c>
      <c r="F69" s="8" t="inlineStr">
        <is>
          <t>Pression</t>
        </is>
      </c>
      <c r="G69" s="7" t="n">
        <v>65</v>
      </c>
      <c r="H69" s="8" t="inlineStr">
        <is>
          <t>射程 +20</t>
        </is>
      </c>
      <c r="I69" s="8" t="inlineStr">
        <is>
          <t>Range +20</t>
        </is>
      </c>
      <c r="J69" s="8" t="inlineStr">
        <is>
          <t>Portée +20</t>
        </is>
      </c>
      <c r="K69" s="7" t="inlineStr">
        <is>
          <t>range+=20</t>
        </is>
      </c>
      <c r="L69" s="9">
        <f>SUMIFS($G$3:$G$143,$A$3:$A$143,A69,$B$3:$B$143,B69,$C$3:$C$143,"&lt;="&amp;C69)</f>
        <v/>
      </c>
    </row>
    <row r="70">
      <c r="A70" s="6" t="inlineStr">
        <is>
          <t>truck</t>
        </is>
      </c>
      <c r="B70" s="6" t="n">
        <v>3</v>
      </c>
      <c r="C70" s="6" t="n">
        <v>2</v>
      </c>
      <c r="D70" s="8" t="inlineStr">
        <is>
          <t>宽喷束</t>
        </is>
      </c>
      <c r="E70" s="8" t="inlineStr">
        <is>
          <t>Wide Jet</t>
        </is>
      </c>
      <c r="F70" s="8" t="inlineStr">
        <is>
          <t>Jet large</t>
        </is>
      </c>
      <c r="G70" s="7" t="n">
        <v>115</v>
      </c>
      <c r="H70" s="8" t="inlineStr">
        <is>
          <t>效果 +0.5，车速 +30%</t>
        </is>
      </c>
      <c r="I70" s="8" t="inlineStr">
        <is>
          <t>Effect +0.5, drives 30% faster</t>
        </is>
      </c>
      <c r="J70" s="8" t="inlineStr">
        <is>
          <t>Effet +0,5, roule 30 % plus vite</t>
        </is>
      </c>
      <c r="K70" s="7" t="inlineStr">
        <is>
          <t>dmg+=0.5; drive*=1.3</t>
        </is>
      </c>
      <c r="L70" s="9">
        <f>SUMIFS($G$3:$G$143,$A$3:$A$143,A70,$B$3:$B$143,B70,$C$3:$C$143,"&lt;="&amp;C70)</f>
        <v/>
      </c>
    </row>
    <row r="71">
      <c r="A71" s="6" t="inlineStr">
        <is>
          <t>truck</t>
        </is>
      </c>
      <c r="B71" s="6" t="n">
        <v>3</v>
      </c>
      <c r="C71" s="6" t="n">
        <v>3</v>
      </c>
      <c r="D71" s="8" t="inlineStr">
        <is>
          <t>击退</t>
        </is>
      </c>
      <c r="E71" s="8" t="inlineStr">
        <is>
          <t>Push Back</t>
        </is>
      </c>
      <c r="F71" s="8" t="inlineStr">
        <is>
          <t>Recul</t>
        </is>
      </c>
      <c r="G71" s="7" t="n">
        <v>320</v>
      </c>
      <c r="H71" s="8" t="inlineStr">
        <is>
          <t>把非 Boss 跑者往回冲 12</t>
        </is>
      </c>
      <c r="I71" s="8" t="inlineStr">
        <is>
          <t>Pushes non-boss runners back 12</t>
        </is>
      </c>
      <c r="J71" s="8" t="inlineStr">
        <is>
          <t>Repousse les non-boss de 12</t>
        </is>
      </c>
      <c r="K71" s="7" t="inlineStr">
        <is>
          <t>knock=12</t>
        </is>
      </c>
      <c r="L71" s="9">
        <f>SUMIFS($G$3:$G$143,$A$3:$A$143,A71,$B$3:$B$143,B71,$C$3:$C$143,"&lt;="&amp;C71)</f>
        <v/>
      </c>
    </row>
    <row r="72">
      <c r="A72" s="6" t="inlineStr">
        <is>
          <t>truck</t>
        </is>
      </c>
      <c r="B72" s="6" t="n">
        <v>3</v>
      </c>
      <c r="C72" s="6" t="n">
        <v>4</v>
      </c>
      <c r="D72" s="8" t="inlineStr">
        <is>
          <t>穿透水柱</t>
        </is>
      </c>
      <c r="E72" s="8" t="inlineStr">
        <is>
          <t>Piercing Jet</t>
        </is>
      </c>
      <c r="F72" s="8" t="inlineStr">
        <is>
          <t>Jet perçant</t>
        </is>
      </c>
      <c r="G72" s="7" t="n">
        <v>580</v>
      </c>
      <c r="H72" s="8" t="inlineStr">
        <is>
          <t>改成直线水柱，穿过整排跑者，射程 +30，效果 +1.5</t>
        </is>
      </c>
      <c r="I72" s="8" t="inlineStr">
        <is>
          <t>Becomes a straight jet that pierces the whole line, range +30, effect +1.5</t>
        </is>
      </c>
      <c r="J72" s="8" t="inlineStr">
        <is>
          <t>Devient un jet droit qui traverse toute la file, portée +30, effet +1,5</t>
        </is>
      </c>
      <c r="K72" s="7" t="inlineStr">
        <is>
          <t>beam=1; dmg+=1.5; range+=30</t>
        </is>
      </c>
      <c r="L72" s="9">
        <f>SUMIFS($G$3:$G$143,$A$3:$A$143,A72,$B$3:$B$143,B72,$C$3:$C$143,"&lt;="&amp;C72)</f>
        <v/>
      </c>
    </row>
    <row r="73">
      <c r="A73" s="6" t="inlineStr">
        <is>
          <t>truck</t>
        </is>
      </c>
      <c r="B73" s="6" t="n">
        <v>3</v>
      </c>
      <c r="C73" s="6" t="n">
        <v>5</v>
      </c>
      <c r="D73" s="8" t="inlineStr">
        <is>
          <t>强力冲洗</t>
        </is>
      </c>
      <c r="E73" s="8" t="inlineStr">
        <is>
          <t>Power Wash</t>
        </is>
      </c>
      <c r="F73" s="8" t="inlineStr">
        <is>
          <t>Lavage haute pression</t>
        </is>
      </c>
      <c r="G73" s="7" t="n">
        <v>1450</v>
      </c>
      <c r="H73" s="8" t="inlineStr">
        <is>
          <t>效果 ×2，击退 +10</t>
        </is>
      </c>
      <c r="I73" s="8" t="inlineStr">
        <is>
          <t>Effect ×2, push +10</t>
        </is>
      </c>
      <c r="J73" s="8" t="inlineStr">
        <is>
          <t>Effet ×2, recul +10</t>
        </is>
      </c>
      <c r="K73" s="7" t="inlineStr">
        <is>
          <t>dmg*=2; knock+=10</t>
        </is>
      </c>
      <c r="L73" s="9">
        <f>SUMIFS($G$3:$G$143,$A$3:$A$143,A73,$B$3:$B$143,B73,$C$3:$C$143,"&lt;="&amp;C73)</f>
        <v/>
      </c>
    </row>
    <row r="74">
      <c r="A74" s="6" t="inlineStr">
        <is>
          <t>truck</t>
        </is>
      </c>
      <c r="B74" s="6" t="n">
        <v>3</v>
      </c>
      <c r="C74" s="6" t="n">
        <v>6</v>
      </c>
      <c r="D74" s="8" t="inlineStr">
        <is>
          <t>消防水炮车</t>
        </is>
      </c>
      <c r="E74" s="8" t="inlineStr">
        <is>
          <t>Fire Engine</t>
        </is>
      </c>
      <c r="F74" s="8" t="inlineStr">
        <is>
          <t>Camion de pompiers</t>
        </is>
      </c>
      <c r="G74" s="7" t="n">
        <v>3500</v>
      </c>
      <c r="H74" s="8" t="inlineStr">
        <is>
          <t>效果 ×3，击退 40</t>
        </is>
      </c>
      <c r="I74" s="8" t="inlineStr">
        <is>
          <t>Effect ×3, push 40</t>
        </is>
      </c>
      <c r="J74" s="8" t="inlineStr">
        <is>
          <t>Effet ×3, recul 40</t>
        </is>
      </c>
      <c r="K74" s="7" t="inlineStr">
        <is>
          <t>dmg*=3; knock=40</t>
        </is>
      </c>
      <c r="L74" s="9">
        <f>SUMIFS($G$3:$G$143,$A$3:$A$143,A74,$B$3:$B$143,B74,$C$3:$C$143,"&lt;="&amp;C74)</f>
        <v/>
      </c>
    </row>
    <row r="75">
      <c r="A75" s="6" t="inlineStr">
        <is>
          <t>sniper</t>
        </is>
      </c>
      <c r="B75" s="6" t="n">
        <v>1</v>
      </c>
      <c r="C75" s="6" t="n">
        <v>1</v>
      </c>
      <c r="D75" s="8" t="inlineStr">
        <is>
          <t>快速飞行</t>
        </is>
      </c>
      <c r="E75" s="8" t="inlineStr">
        <is>
          <t>Fast Flight</t>
        </is>
      </c>
      <c r="F75" s="8" t="inlineStr">
        <is>
          <t>Vol rapide</t>
        </is>
      </c>
      <c r="G75" s="7" t="n">
        <v>60</v>
      </c>
      <c r="H75" s="8" t="inlineStr">
        <is>
          <t>出动间隔 −15%</t>
        </is>
      </c>
      <c r="I75" s="8" t="inlineStr">
        <is>
          <t>Sortie interval −15%</t>
        </is>
      </c>
      <c r="J75" s="8" t="inlineStr">
        <is>
          <t>Intervalle −15 %</t>
        </is>
      </c>
      <c r="K75" s="7" t="inlineStr">
        <is>
          <t>rate*=0.85</t>
        </is>
      </c>
      <c r="L75" s="9">
        <f>SUMIFS($G$3:$G$143,$A$3:$A$143,A75,$B$3:$B$143,B75,$C$3:$C$143,"&lt;="&amp;C75)</f>
        <v/>
      </c>
    </row>
    <row r="76">
      <c r="A76" s="6" t="inlineStr">
        <is>
          <t>sniper</t>
        </is>
      </c>
      <c r="B76" s="6" t="n">
        <v>1</v>
      </c>
      <c r="C76" s="6" t="n">
        <v>2</v>
      </c>
      <c r="D76" s="8" t="inlineStr">
        <is>
          <t>落点修正</t>
        </is>
      </c>
      <c r="E76" s="8" t="inlineStr">
        <is>
          <t>Course Correction</t>
        </is>
      </c>
      <c r="F76" s="8" t="inlineStr">
        <is>
          <t>Correction de cap</t>
        </is>
      </c>
      <c r="G76" s="7" t="n">
        <v>100</v>
      </c>
      <c r="H76" s="8" t="inlineStr">
        <is>
          <t>鞋盒追着目标落，不会砸空</t>
        </is>
      </c>
      <c r="I76" s="8" t="inlineStr">
        <is>
          <t>Boxes home in on the target and never miss</t>
        </is>
      </c>
      <c r="J76" s="8" t="inlineStr">
        <is>
          <t>Les boîtes suivent la cible et ne ratent jamais</t>
        </is>
      </c>
      <c r="K76" s="7" t="inlineStr">
        <is>
          <t>homing=1</t>
        </is>
      </c>
      <c r="L76" s="9">
        <f>SUMIFS($G$3:$G$143,$A$3:$A$143,A76,$B$3:$B$143,B76,$C$3:$C$143,"&lt;="&amp;C76)</f>
        <v/>
      </c>
    </row>
    <row r="77">
      <c r="A77" s="6" t="inlineStr">
        <is>
          <t>sniper</t>
        </is>
      </c>
      <c r="B77" s="6" t="n">
        <v>1</v>
      </c>
      <c r="C77" s="6" t="n">
        <v>3</v>
      </c>
      <c r="D77" s="8" t="inlineStr">
        <is>
          <t>重型鞋盒</t>
        </is>
      </c>
      <c r="E77" s="8" t="inlineStr">
        <is>
          <t>Heavy Box</t>
        </is>
      </c>
      <c r="F77" s="8" t="inlineStr">
        <is>
          <t>Boîte lourde</t>
        </is>
      </c>
      <c r="G77" s="7" t="n">
        <v>260</v>
      </c>
      <c r="H77" s="8" t="inlineStr">
        <is>
          <t>效果 +8</t>
        </is>
      </c>
      <c r="I77" s="8" t="inlineStr">
        <is>
          <t>Effect +8</t>
        </is>
      </c>
      <c r="J77" s="8" t="inlineStr">
        <is>
          <t>Effet +8</t>
        </is>
      </c>
      <c r="K77" s="7" t="inlineStr">
        <is>
          <t>dmg+=8</t>
        </is>
      </c>
      <c r="L77" s="9">
        <f>SUMIFS($G$3:$G$143,$A$3:$A$143,A77,$B$3:$B$143,B77,$C$3:$C$143,"&lt;="&amp;C77)</f>
        <v/>
      </c>
    </row>
    <row r="78">
      <c r="A78" s="6" t="inlineStr">
        <is>
          <t>sniper</t>
        </is>
      </c>
      <c r="B78" s="6" t="n">
        <v>1</v>
      </c>
      <c r="C78" s="6" t="n">
        <v>4</v>
      </c>
      <c r="D78" s="8" t="inlineStr">
        <is>
          <t>动态追踪</t>
        </is>
      </c>
      <c r="E78" s="8" t="inlineStr">
        <is>
          <t>Live Tracking</t>
        </is>
      </c>
      <c r="F78" s="8" t="inlineStr">
        <is>
          <t>Suivi en direct</t>
        </is>
      </c>
      <c r="G78" s="7" t="n">
        <v>700</v>
      </c>
      <c r="H78" s="8" t="inlineStr">
        <is>
          <t>效果 +6，投递区 +20</t>
        </is>
      </c>
      <c r="I78" s="8" t="inlineStr">
        <is>
          <t>Effect +6, drop zone +20</t>
        </is>
      </c>
      <c r="J78" s="8" t="inlineStr">
        <is>
          <t>Effet +6, zone +20</t>
        </is>
      </c>
      <c r="K78" s="7" t="inlineStr">
        <is>
          <t>dmg+=6; aimR+=20</t>
        </is>
      </c>
      <c r="L78" s="9">
        <f>SUMIFS($G$3:$G$143,$A$3:$A$143,A78,$B$3:$B$143,B78,$C$3:$C$143,"&lt;="&amp;C78)</f>
        <v/>
      </c>
    </row>
    <row r="79">
      <c r="A79" s="6" t="inlineStr">
        <is>
          <t>sniper</t>
        </is>
      </c>
      <c r="B79" s="6" t="n">
        <v>1</v>
      </c>
      <c r="C79" s="6" t="n">
        <v>5</v>
      </c>
      <c r="D79" s="8" t="inlineStr">
        <is>
          <t>连续投箱</t>
        </is>
      </c>
      <c r="E79" s="8" t="inlineStr">
        <is>
          <t>Double Drop</t>
        </is>
      </c>
      <c r="F79" s="8" t="inlineStr">
        <is>
          <t>Double largage</t>
        </is>
      </c>
      <c r="G79" s="7" t="n">
        <v>1500</v>
      </c>
      <c r="H79" s="8" t="inlineStr">
        <is>
          <t>每次连投 2 箱</t>
        </is>
      </c>
      <c r="I79" s="8" t="inlineStr">
        <is>
          <t>Drops 2 boxes per sortie</t>
        </is>
      </c>
      <c r="J79" s="8" t="inlineStr">
        <is>
          <t>2 boîtes par sortie</t>
        </is>
      </c>
      <c r="K79" s="7" t="inlineStr">
        <is>
          <t>load=2</t>
        </is>
      </c>
      <c r="L79" s="9">
        <f>SUMIFS($G$3:$G$143,$A$3:$A$143,A79,$B$3:$B$143,B79,$C$3:$C$143,"&lt;="&amp;C79)</f>
        <v/>
      </c>
    </row>
    <row r="80">
      <c r="A80" s="6" t="inlineStr">
        <is>
          <t>sniper</t>
        </is>
      </c>
      <c r="B80" s="6" t="n">
        <v>1</v>
      </c>
      <c r="C80" s="6" t="n">
        <v>6</v>
      </c>
      <c r="D80" s="8" t="inlineStr">
        <is>
          <t>旗舰重箱机</t>
        </is>
      </c>
      <c r="E80" s="8" t="inlineStr">
        <is>
          <t>Flagship Drone</t>
        </is>
      </c>
      <c r="F80" s="8" t="inlineStr">
        <is>
          <t>Drone amiral</t>
        </is>
      </c>
      <c r="G80" s="7" t="n">
        <v>3800</v>
      </c>
      <c r="H80" s="8" t="inlineStr">
        <is>
          <t>效果 ×8，砸地范围 +10，出动间隔 ×1.5</t>
        </is>
      </c>
      <c r="I80" s="8" t="inlineStr">
        <is>
          <t>Effect ×8, impact area +10, interval ×1.5</t>
        </is>
      </c>
      <c r="J80" s="8" t="inlineStr">
        <is>
          <t>Effet ×8, zone d’impact +10, intervalle ×1,5</t>
        </is>
      </c>
      <c r="K80" s="7" t="inlineStr">
        <is>
          <t>dmg*=8; rad+=10; rate*=1.5</t>
        </is>
      </c>
      <c r="L80" s="9">
        <f>SUMIFS($G$3:$G$143,$A$3:$A$143,A80,$B$3:$B$143,B80,$C$3:$C$143,"&lt;="&amp;C80)</f>
        <v/>
      </c>
    </row>
    <row r="81">
      <c r="A81" s="6" t="inlineStr">
        <is>
          <t>sniper</t>
        </is>
      </c>
      <c r="B81" s="6" t="n">
        <v>2</v>
      </c>
      <c r="C81" s="6" t="n">
        <v>1</v>
      </c>
      <c r="D81" s="8" t="inlineStr">
        <is>
          <t>多装一箱</t>
        </is>
      </c>
      <c r="E81" s="8" t="inlineStr">
        <is>
          <t>Extra Load</t>
        </is>
      </c>
      <c r="F81" s="8" t="inlineStr">
        <is>
          <t>Chargement +</t>
        </is>
      </c>
      <c r="G81" s="7" t="n">
        <v>90</v>
      </c>
      <c r="H81" s="8" t="inlineStr">
        <is>
          <t>每次多投 1 箱</t>
        </is>
      </c>
      <c r="I81" s="8" t="inlineStr">
        <is>
          <t>One more box per sortie</t>
        </is>
      </c>
      <c r="J81" s="8" t="inlineStr">
        <is>
          <t>Une boîte de plus par sortie</t>
        </is>
      </c>
      <c r="K81" s="7" t="inlineStr">
        <is>
          <t>load+=1</t>
        </is>
      </c>
      <c r="L81" s="9">
        <f>SUMIFS($G$3:$G$143,$A$3:$A$143,A81,$B$3:$B$143,B81,$C$3:$C$143,"&lt;="&amp;C81)</f>
        <v/>
      </c>
    </row>
    <row r="82">
      <c r="A82" s="6" t="inlineStr">
        <is>
          <t>sniper</t>
        </is>
      </c>
      <c r="B82" s="6" t="n">
        <v>2</v>
      </c>
      <c r="C82" s="6" t="n">
        <v>2</v>
      </c>
      <c r="D82" s="8" t="inlineStr">
        <is>
          <t>散布投递</t>
        </is>
      </c>
      <c r="E82" s="8" t="inlineStr">
        <is>
          <t>Scatter</t>
        </is>
      </c>
      <c r="F82" s="8" t="inlineStr">
        <is>
          <t>Dispersion</t>
        </is>
      </c>
      <c r="G82" s="7" t="n">
        <v>150</v>
      </c>
      <c r="H82" s="8" t="inlineStr">
        <is>
          <t>投递区 +25</t>
        </is>
      </c>
      <c r="I82" s="8" t="inlineStr">
        <is>
          <t>Drop zone +25</t>
        </is>
      </c>
      <c r="J82" s="8" t="inlineStr">
        <is>
          <t>Zone +25</t>
        </is>
      </c>
      <c r="K82" s="7" t="inlineStr">
        <is>
          <t>aimR+=25</t>
        </is>
      </c>
      <c r="L82" s="9">
        <f>SUMIFS($G$3:$G$143,$A$3:$A$143,A82,$B$3:$B$143,B82,$C$3:$C$143,"&lt;="&amp;C82)</f>
        <v/>
      </c>
    </row>
    <row r="83">
      <c r="A83" s="6" t="inlineStr">
        <is>
          <t>sniper</t>
        </is>
      </c>
      <c r="B83" s="6" t="n">
        <v>2</v>
      </c>
      <c r="C83" s="6" t="n">
        <v>3</v>
      </c>
      <c r="D83" s="8" t="inlineStr">
        <is>
          <t>沿路投箱</t>
        </is>
      </c>
      <c r="E83" s="8" t="inlineStr">
        <is>
          <t>Route Drop</t>
        </is>
      </c>
      <c r="F83" s="8" t="inlineStr">
        <is>
          <t>Largage sur route</t>
        </is>
      </c>
      <c r="G83" s="7" t="n">
        <v>260</v>
      </c>
      <c r="H83" s="8" t="inlineStr">
        <is>
          <t>鞋盒沿选定路段排开，再多 1 箱</t>
        </is>
      </c>
      <c r="I83" s="8" t="inlineStr">
        <is>
          <t>Boxes line up along the chosen stretch, plus 1 box</t>
        </is>
      </c>
      <c r="J83" s="8" t="inlineStr">
        <is>
          <t>Les boîtes s’alignent sur le tronçon choisi, +1 boîte</t>
        </is>
      </c>
      <c r="K83" s="7" t="inlineStr">
        <is>
          <t>segment=1; load+=1</t>
        </is>
      </c>
      <c r="L83" s="9">
        <f>SUMIFS($G$3:$G$143,$A$3:$A$143,A83,$B$3:$B$143,B83,$C$3:$C$143,"&lt;="&amp;C83)</f>
        <v/>
      </c>
    </row>
    <row r="84">
      <c r="A84" s="6" t="inlineStr">
        <is>
          <t>sniper</t>
        </is>
      </c>
      <c r="B84" s="6" t="n">
        <v>2</v>
      </c>
      <c r="C84" s="6" t="n">
        <v>4</v>
      </c>
      <c r="D84" s="8" t="inlineStr">
        <is>
          <t>多点投递</t>
        </is>
      </c>
      <c r="E84" s="8" t="inlineStr">
        <is>
          <t>Multi-Drop</t>
        </is>
      </c>
      <c r="F84" s="8" t="inlineStr">
        <is>
          <t>Multi-largage</t>
        </is>
      </c>
      <c r="G84" s="7" t="n">
        <v>550</v>
      </c>
      <c r="H84" s="8" t="inlineStr">
        <is>
          <t>每次再多投 2 箱</t>
        </is>
      </c>
      <c r="I84" s="8" t="inlineStr">
        <is>
          <t>2 more boxes per sortie</t>
        </is>
      </c>
      <c r="J84" s="8" t="inlineStr">
        <is>
          <t>2 boîtes de plus par sortie</t>
        </is>
      </c>
      <c r="K84" s="7" t="inlineStr">
        <is>
          <t>load+=2</t>
        </is>
      </c>
      <c r="L84" s="9">
        <f>SUMIFS($G$3:$G$143,$A$3:$A$143,A84,$B$3:$B$143,B84,$C$3:$C$143,"&lt;="&amp;C84)</f>
        <v/>
      </c>
    </row>
    <row r="85">
      <c r="A85" s="6" t="inlineStr">
        <is>
          <t>sniper</t>
        </is>
      </c>
      <c r="B85" s="6" t="n">
        <v>2</v>
      </c>
      <c r="C85" s="6" t="n">
        <v>5</v>
      </c>
      <c r="D85" s="8" t="inlineStr">
        <is>
          <t>编队配送</t>
        </is>
      </c>
      <c r="E85" s="8" t="inlineStr">
        <is>
          <t>Drone Squadron</t>
        </is>
      </c>
      <c r="F85" s="8" t="inlineStr">
        <is>
          <t>Escadrille</t>
        </is>
      </c>
      <c r="G85" s="7" t="n">
        <v>1500</v>
      </c>
      <c r="H85" s="8" t="inlineStr">
        <is>
          <t>再多投 3 箱</t>
        </is>
      </c>
      <c r="I85" s="8" t="inlineStr">
        <is>
          <t>3 more boxes</t>
        </is>
      </c>
      <c r="J85" s="8" t="inlineStr">
        <is>
          <t>3 boîtes de plus</t>
        </is>
      </c>
      <c r="K85" s="7" t="inlineStr">
        <is>
          <t>load+=3</t>
        </is>
      </c>
      <c r="L85" s="9">
        <f>SUMIFS($G$3:$G$143,$A$3:$A$143,A85,$B$3:$B$143,B85,$C$3:$C$143,"&lt;="&amp;C85)</f>
        <v/>
      </c>
    </row>
    <row r="86">
      <c r="A86" s="6" t="inlineStr">
        <is>
          <t>sniper</t>
        </is>
      </c>
      <c r="B86" s="6" t="n">
        <v>2</v>
      </c>
      <c r="C86" s="6" t="n">
        <v>6</v>
      </c>
      <c r="D86" s="8" t="inlineStr">
        <is>
          <t>鞋盒空投编队</t>
        </is>
      </c>
      <c r="E86" s="8" t="inlineStr">
        <is>
          <t>Airdrop Armada</t>
        </is>
      </c>
      <c r="F86" s="8" t="inlineStr">
        <is>
          <t>Armada de largage</t>
        </is>
      </c>
      <c r="G86" s="7" t="n">
        <v>3600</v>
      </c>
      <c r="H86" s="8" t="inlineStr">
        <is>
          <t>一次投 16 箱覆盖整段路，效果 +8，之后整备 3 秒</t>
        </is>
      </c>
      <c r="I86" s="8" t="inlineStr">
        <is>
          <t>16 boxes cover the whole stretch, effect +8, then 3 s to rearm</t>
        </is>
      </c>
      <c r="J86" s="8" t="inlineStr">
        <is>
          <t>16 boîtes couvrent tout le tronçon, effet +8, puis 3 s de réarmement</t>
        </is>
      </c>
      <c r="K86" s="7" t="inlineStr">
        <is>
          <t>load=16; rate=3; dmg+=8</t>
        </is>
      </c>
      <c r="L86" s="9">
        <f>SUMIFS($G$3:$G$143,$A$3:$A$143,A86,$B$3:$B$143,B86,$C$3:$C$143,"&lt;="&amp;C86)</f>
        <v/>
      </c>
    </row>
    <row r="87">
      <c r="A87" s="6" t="inlineStr">
        <is>
          <t>sniper</t>
        </is>
      </c>
      <c r="B87" s="6" t="n">
        <v>3</v>
      </c>
      <c r="C87" s="6" t="n">
        <v>1</v>
      </c>
      <c r="D87" s="8" t="inlineStr">
        <is>
          <t>快速返航</t>
        </is>
      </c>
      <c r="E87" s="8" t="inlineStr">
        <is>
          <t>Quick Return</t>
        </is>
      </c>
      <c r="F87" s="8" t="inlineStr">
        <is>
          <t>Retour rapide</t>
        </is>
      </c>
      <c r="G87" s="7" t="n">
        <v>70</v>
      </c>
      <c r="H87" s="8" t="inlineStr">
        <is>
          <t>出动间隔 −15%</t>
        </is>
      </c>
      <c r="I87" s="8" t="inlineStr">
        <is>
          <t>Sortie interval −15%</t>
        </is>
      </c>
      <c r="J87" s="8" t="inlineStr">
        <is>
          <t>Intervalle −15 %</t>
        </is>
      </c>
      <c r="K87" s="7" t="inlineStr">
        <is>
          <t>rate*=0.85</t>
        </is>
      </c>
      <c r="L87" s="9">
        <f>SUMIFS($G$3:$G$143,$A$3:$A$143,A87,$B$3:$B$143,B87,$C$3:$C$143,"&lt;="&amp;C87)</f>
        <v/>
      </c>
    </row>
    <row r="88">
      <c r="A88" s="6" t="inlineStr">
        <is>
          <t>sniper</t>
        </is>
      </c>
      <c r="B88" s="6" t="n">
        <v>3</v>
      </c>
      <c r="C88" s="6" t="n">
        <v>2</v>
      </c>
      <c r="D88" s="8" t="inlineStr">
        <is>
          <t>缩短整备</t>
        </is>
      </c>
      <c r="E88" s="8" t="inlineStr">
        <is>
          <t>Fast Rearm</t>
        </is>
      </c>
      <c r="F88" s="8" t="inlineStr">
        <is>
          <t>Réarmement rapide</t>
        </is>
      </c>
      <c r="G88" s="7" t="n">
        <v>120</v>
      </c>
      <c r="H88" s="8" t="inlineStr">
        <is>
          <t>出动间隔再 −15%</t>
        </is>
      </c>
      <c r="I88" s="8" t="inlineStr">
        <is>
          <t>Interval −15% more</t>
        </is>
      </c>
      <c r="J88" s="8" t="inlineStr">
        <is>
          <t>Intervalle encore −15 %</t>
        </is>
      </c>
      <c r="K88" s="7" t="inlineStr">
        <is>
          <t>rate*=0.85</t>
        </is>
      </c>
      <c r="L88" s="9">
        <f>SUMIFS($G$3:$G$143,$A$3:$A$143,A88,$B$3:$B$143,B88,$C$3:$C$143,"&lt;="&amp;C88)</f>
        <v/>
      </c>
    </row>
    <row r="89">
      <c r="A89" s="6" t="inlineStr">
        <is>
          <t>sniper</t>
        </is>
      </c>
      <c r="B89" s="6" t="n">
        <v>3</v>
      </c>
      <c r="C89" s="6" t="n">
        <v>3</v>
      </c>
      <c r="D89" s="8" t="inlineStr">
        <is>
          <t>补给箱</t>
        </is>
      </c>
      <c r="E89" s="8" t="inlineStr">
        <is>
          <t>Supply Crate</t>
        </is>
      </c>
      <c r="F89" s="8" t="inlineStr">
        <is>
          <t>Caisse de ravitaillement</t>
        </is>
      </c>
      <c r="G89" s="7" t="n">
        <v>300</v>
      </c>
      <c r="H89" s="8" t="inlineStr">
        <is>
          <t>每次出动给投递区旁 1 座地面装置补给：4 秒内出手间隔 −25%</t>
        </is>
      </c>
      <c r="I89" s="8" t="inlineStr">
        <is>
          <t>Each sortie supplies 1 ground device near the drop zone: −25% interval for 4 s</t>
        </is>
      </c>
      <c r="J89" s="8" t="inlineStr">
        <is>
          <t>Chaque sortie ravitaille 1 dispositif au sol près de la zone : intervalle −25 % pendant 4 s</t>
        </is>
      </c>
      <c r="K89" s="7" t="inlineStr">
        <is>
          <t>supply=4; supplyN=1</t>
        </is>
      </c>
      <c r="L89" s="9">
        <f>SUMIFS($G$3:$G$143,$A$3:$A$143,A89,$B$3:$B$143,B89,$C$3:$C$143,"&lt;="&amp;C89)</f>
        <v/>
      </c>
    </row>
    <row r="90">
      <c r="A90" s="6" t="inlineStr">
        <is>
          <t>sniper</t>
        </is>
      </c>
      <c r="B90" s="6" t="n">
        <v>3</v>
      </c>
      <c r="C90" s="6" t="n">
        <v>4</v>
      </c>
      <c r="D90" s="8" t="inlineStr">
        <is>
          <t>长效补给</t>
        </is>
      </c>
      <c r="E90" s="8" t="inlineStr">
        <is>
          <t>Long Supply</t>
        </is>
      </c>
      <c r="F90" s="8" t="inlineStr">
        <is>
          <t>Ravitaillement durable</t>
        </is>
      </c>
      <c r="G90" s="7" t="n">
        <v>600</v>
      </c>
      <c r="H90" s="8" t="inlineStr">
        <is>
          <t>补给持续 7 秒</t>
        </is>
      </c>
      <c r="I90" s="8" t="inlineStr">
        <is>
          <t>Supply lasts 7 s</t>
        </is>
      </c>
      <c r="J90" s="8" t="inlineStr">
        <is>
          <t>Ravitaillement de 7 s</t>
        </is>
      </c>
      <c r="K90" s="7" t="inlineStr">
        <is>
          <t>supply=7</t>
        </is>
      </c>
      <c r="L90" s="9">
        <f>SUMIFS($G$3:$G$143,$A$3:$A$143,A90,$B$3:$B$143,B90,$C$3:$C$143,"&lt;="&amp;C90)</f>
        <v/>
      </c>
    </row>
    <row r="91">
      <c r="A91" s="6" t="inlineStr">
        <is>
          <t>sniper</t>
        </is>
      </c>
      <c r="B91" s="6" t="n">
        <v>3</v>
      </c>
      <c r="C91" s="6" t="n">
        <v>5</v>
      </c>
      <c r="D91" s="8" t="inlineStr">
        <is>
          <t>多点补给</t>
        </is>
      </c>
      <c r="E91" s="8" t="inlineStr">
        <is>
          <t>Wide Supply</t>
        </is>
      </c>
      <c r="F91" s="8" t="inlineStr">
        <is>
          <t>Ravitaillement multiple</t>
        </is>
      </c>
      <c r="G91" s="7" t="n">
        <v>1300</v>
      </c>
      <c r="H91" s="8" t="inlineStr">
        <is>
          <t>一次补给 3 座装置</t>
        </is>
      </c>
      <c r="I91" s="8" t="inlineStr">
        <is>
          <t>Supplies 3 devices at once</t>
        </is>
      </c>
      <c r="J91" s="8" t="inlineStr">
        <is>
          <t>Ravitaille 3 dispositifs à la fois</t>
        </is>
      </c>
      <c r="K91" s="7" t="inlineStr">
        <is>
          <t>supplyN=3</t>
        </is>
      </c>
      <c r="L91" s="9">
        <f>SUMIFS($G$3:$G$143,$A$3:$A$143,A91,$B$3:$B$143,B91,$C$3:$C$143,"&lt;="&amp;C91)</f>
        <v/>
      </c>
    </row>
    <row r="92">
      <c r="A92" s="6" t="inlineStr">
        <is>
          <t>sniper</t>
        </is>
      </c>
      <c r="B92" s="6" t="n">
        <v>3</v>
      </c>
      <c r="C92" s="6" t="n">
        <v>6</v>
      </c>
      <c r="D92" s="8" t="inlineStr">
        <is>
          <t>紧急后勤总部</t>
        </is>
      </c>
      <c r="E92" s="8" t="inlineStr">
        <is>
          <t>Logistics HQ</t>
        </is>
      </c>
      <c r="F92" s="8" t="inlineStr">
        <is>
          <t>QG logistique</t>
        </is>
      </c>
      <c r="G92" s="7" t="n">
        <v>3200</v>
      </c>
      <c r="H92" s="8" t="inlineStr">
        <is>
          <t>不再投箱：每 8 秒让投递区 160 内的地面装置 7 秒内出手间隔 −50%、效果 +50%</t>
        </is>
      </c>
      <c r="I92" s="8" t="inlineStr">
        <is>
          <t>No more boxes: every 8 s, ground devices within 160 of the drop zone get −50% interval and +50% effect for 7 s</t>
        </is>
      </c>
      <c r="J92" s="8" t="inlineStr">
        <is>
          <t>Plus de boîtes : toutes les 8 s, les dispositifs au sol à 160 de la zone ont −50 % d’intervalle et +50 % d’effet pendant 7 s</t>
        </is>
      </c>
      <c r="K92" s="7" t="inlineStr">
        <is>
          <t>hq=1; rate=8</t>
        </is>
      </c>
      <c r="L92" s="9">
        <f>SUMIFS($G$3:$G$143,$A$3:$A$143,A92,$B$3:$B$143,B92,$C$3:$C$143,"&lt;="&amp;C92)</f>
        <v/>
      </c>
    </row>
    <row r="93">
      <c r="A93" s="6" t="inlineStr">
        <is>
          <t>tesla</t>
        </is>
      </c>
      <c r="B93" s="6" t="n">
        <v>1</v>
      </c>
      <c r="C93" s="6" t="n">
        <v>1</v>
      </c>
      <c r="D93" s="8" t="inlineStr">
        <is>
          <t>大嗓门</t>
        </is>
      </c>
      <c r="E93" s="8" t="inlineStr">
        <is>
          <t>Loud Voice</t>
        </is>
      </c>
      <c r="F93" s="8" t="inlineStr">
        <is>
          <t>Grosse voix</t>
        </is>
      </c>
      <c r="G93" s="7" t="n">
        <v>45</v>
      </c>
      <c r="H93" s="8" t="inlineStr">
        <is>
          <t>传播距离 +20</t>
        </is>
      </c>
      <c r="I93" s="8" t="inlineStr">
        <is>
          <t>Hop distance +20</t>
        </is>
      </c>
      <c r="J93" s="8" t="inlineStr">
        <is>
          <t>Distance de saut +20</t>
        </is>
      </c>
      <c r="K93" s="7" t="inlineStr">
        <is>
          <t>hop+=20</t>
        </is>
      </c>
      <c r="L93" s="9">
        <f>SUMIFS($G$3:$G$143,$A$3:$A$143,A93,$B$3:$B$143,B93,$C$3:$C$143,"&lt;="&amp;C93)</f>
        <v/>
      </c>
    </row>
    <row r="94">
      <c r="A94" s="6" t="inlineStr">
        <is>
          <t>tesla</t>
        </is>
      </c>
      <c r="B94" s="6" t="n">
        <v>1</v>
      </c>
      <c r="C94" s="6" t="n">
        <v>2</v>
      </c>
      <c r="D94" s="8" t="inlineStr">
        <is>
          <t>多传两人</t>
        </is>
      </c>
      <c r="E94" s="8" t="inlineStr">
        <is>
          <t>Two More</t>
        </is>
      </c>
      <c r="F94" s="8" t="inlineStr">
        <is>
          <t>Deux de plus</t>
        </is>
      </c>
      <c r="G94" s="7" t="n">
        <v>80</v>
      </c>
      <c r="H94" s="8" t="inlineStr">
        <is>
          <t>多传 2 人</t>
        </is>
      </c>
      <c r="I94" s="8" t="inlineStr">
        <is>
          <t>Spreads to 2 more</t>
        </is>
      </c>
      <c r="J94" s="8" t="inlineStr">
        <is>
          <t>Se propage à 2 de plus</t>
        </is>
      </c>
      <c r="K94" s="7" t="inlineStr">
        <is>
          <t>chain+=2</t>
        </is>
      </c>
      <c r="L94" s="9">
        <f>SUMIFS($G$3:$G$143,$A$3:$A$143,A94,$B$3:$B$143,B94,$C$3:$C$143,"&lt;="&amp;C94)</f>
        <v/>
      </c>
    </row>
    <row r="95">
      <c r="A95" s="6" t="inlineStr">
        <is>
          <t>tesla</t>
        </is>
      </c>
      <c r="B95" s="6" t="n">
        <v>1</v>
      </c>
      <c r="C95" s="6" t="n">
        <v>3</v>
      </c>
      <c r="D95" s="8" t="inlineStr">
        <is>
          <t>跑者接唱</t>
        </is>
      </c>
      <c r="E95" s="8" t="inlineStr">
        <is>
          <t>Sing-Along</t>
        </is>
      </c>
      <c r="F95" s="8" t="inlineStr">
        <is>
          <t>Chant repris</t>
        </is>
      </c>
      <c r="G95" s="7" t="n">
        <v>300</v>
      </c>
      <c r="H95" s="8" t="inlineStr">
        <is>
          <t>多传 3 人，传播几乎不衰减</t>
        </is>
      </c>
      <c r="I95" s="8" t="inlineStr">
        <is>
          <t>3 more, almost no fade</t>
        </is>
      </c>
      <c r="J95" s="8" t="inlineStr">
        <is>
          <t>3 de plus, presque sans perte</t>
        </is>
      </c>
      <c r="K95" s="7" t="inlineStr">
        <is>
          <t>chain+=3; decay=0.95</t>
        </is>
      </c>
      <c r="L95" s="9">
        <f>SUMIFS($G$3:$G$143,$A$3:$A$143,A95,$B$3:$B$143,B95,$C$3:$C$143,"&lt;="&amp;C95)</f>
        <v/>
      </c>
    </row>
    <row r="96">
      <c r="A96" s="6" t="inlineStr">
        <is>
          <t>tesla</t>
        </is>
      </c>
      <c r="B96" s="6" t="n">
        <v>1</v>
      </c>
      <c r="C96" s="6" t="n">
        <v>4</v>
      </c>
      <c r="D96" s="8" t="inlineStr">
        <is>
          <t>小队串联</t>
        </is>
      </c>
      <c r="E96" s="8" t="inlineStr">
        <is>
          <t>Squad Link</t>
        </is>
      </c>
      <c r="F96" s="8" t="inlineStr">
        <is>
          <t>Liaison d’équipe</t>
        </is>
      </c>
      <c r="G96" s="7" t="n">
        <v>500</v>
      </c>
      <c r="H96" s="8" t="inlineStr">
        <is>
          <t>传播距离再 +30，能连上相邻小队</t>
        </is>
      </c>
      <c r="I96" s="8" t="inlineStr">
        <is>
          <t>Hop +30, links nearby squads</t>
        </is>
      </c>
      <c r="J96" s="8" t="inlineStr">
        <is>
          <t>Saut +30, relie les équipes voisines</t>
        </is>
      </c>
      <c r="K96" s="7" t="inlineStr">
        <is>
          <t>hop+=30</t>
        </is>
      </c>
      <c r="L96" s="9">
        <f>SUMIFS($G$3:$G$143,$A$3:$A$143,A96,$B$3:$B$143,B96,$C$3:$C$143,"&lt;="&amp;C96)</f>
        <v/>
      </c>
    </row>
    <row r="97">
      <c r="A97" s="6" t="inlineStr">
        <is>
          <t>tesla</t>
        </is>
      </c>
      <c r="B97" s="6" t="n">
        <v>1</v>
      </c>
      <c r="C97" s="6" t="n">
        <v>5</v>
      </c>
      <c r="D97" s="8" t="inlineStr">
        <is>
          <t>长链神曲</t>
        </is>
      </c>
      <c r="E97" s="8" t="inlineStr">
        <is>
          <t>Long Chain</t>
        </is>
      </c>
      <c r="F97" s="8" t="inlineStr">
        <is>
          <t>Longue chaîne</t>
        </is>
      </c>
      <c r="G97" s="7" t="n">
        <v>1400</v>
      </c>
      <c r="H97" s="8" t="inlineStr">
        <is>
          <t>再多传 6 人</t>
        </is>
      </c>
      <c r="I97" s="8" t="inlineStr">
        <is>
          <t>6 more</t>
        </is>
      </c>
      <c r="J97" s="8" t="inlineStr">
        <is>
          <t>6 de plus</t>
        </is>
      </c>
      <c r="K97" s="7" t="inlineStr">
        <is>
          <t>chain+=6</t>
        </is>
      </c>
      <c r="L97" s="9">
        <f>SUMIFS($G$3:$G$143,$A$3:$A$143,A97,$B$3:$B$143,B97,$C$3:$C$143,"&lt;="&amp;C97)</f>
        <v/>
      </c>
    </row>
    <row r="98">
      <c r="A98" s="6" t="inlineStr">
        <is>
          <t>tesla</t>
        </is>
      </c>
      <c r="B98" s="6" t="n">
        <v>1</v>
      </c>
      <c r="C98" s="6" t="n">
        <v>6</v>
      </c>
      <c r="D98" s="8" t="inlineStr">
        <is>
          <t>巡回神曲</t>
        </is>
      </c>
      <c r="E98" s="8" t="inlineStr">
        <is>
          <t>Touring Hit</t>
        </is>
      </c>
      <c r="F98" s="8" t="inlineStr">
        <is>
          <t>Tube en tournée</t>
        </is>
      </c>
      <c r="G98" s="7" t="n">
        <v>3400</v>
      </c>
      <c r="H98" s="8" t="inlineStr">
        <is>
          <t>一轮最多传 30 人，不衰减，效果 ×2.5；队形分散就传不开</t>
        </is>
      </c>
      <c r="I98" s="8" t="inlineStr">
        <is>
          <t>Up to 30 runners per song, no fade, effect ×2.5; spread-out runners break the chain</t>
        </is>
      </c>
      <c r="J98" s="8" t="inlineStr">
        <is>
          <t>Jusqu’à 30 coureurs par morceau, sans perte, effet ×2,5 ; une file dispersée coupe la chaîne</t>
        </is>
      </c>
      <c r="K98" s="7" t="inlineStr">
        <is>
          <t>chain=30; decay=1; hop+=20; dmg*=2.5</t>
        </is>
      </c>
      <c r="L98" s="9">
        <f>SUMIFS($G$3:$G$143,$A$3:$A$143,A98,$B$3:$B$143,B98,$C$3:$C$143,"&lt;="&amp;C98)</f>
        <v/>
      </c>
    </row>
    <row r="99">
      <c r="A99" s="6" t="inlineStr">
        <is>
          <t>tesla</t>
        </is>
      </c>
      <c r="B99" s="6" t="n">
        <v>2</v>
      </c>
      <c r="C99" s="6" t="n">
        <v>1</v>
      </c>
      <c r="D99" s="8" t="inlineStr">
        <is>
          <t>低音炮</t>
        </is>
      </c>
      <c r="E99" s="8" t="inlineStr">
        <is>
          <t>Subwoofer</t>
        </is>
      </c>
      <c r="F99" s="8" t="inlineStr">
        <is>
          <t>Caisson</t>
        </is>
      </c>
      <c r="G99" s="7" t="n">
        <v>70</v>
      </c>
      <c r="H99" s="8" t="inlineStr">
        <is>
          <t>效果 +1</t>
        </is>
      </c>
      <c r="I99" s="8" t="inlineStr">
        <is>
          <t>Effect +1</t>
        </is>
      </c>
      <c r="J99" s="8" t="inlineStr">
        <is>
          <t>Effet +1</t>
        </is>
      </c>
      <c r="K99" s="7" t="inlineStr">
        <is>
          <t>dmg+=1</t>
        </is>
      </c>
      <c r="L99" s="9">
        <f>SUMIFS($G$3:$G$143,$A$3:$A$143,A99,$B$3:$B$143,B99,$C$3:$C$143,"&lt;="&amp;C99)</f>
        <v/>
      </c>
    </row>
    <row r="100">
      <c r="A100" s="6" t="inlineStr">
        <is>
          <t>tesla</t>
        </is>
      </c>
      <c r="B100" s="6" t="n">
        <v>2</v>
      </c>
      <c r="C100" s="6" t="n">
        <v>2</v>
      </c>
      <c r="D100" s="8" t="inlineStr">
        <is>
          <t>共振</t>
        </is>
      </c>
      <c r="E100" s="8" t="inlineStr">
        <is>
          <t>Resonance</t>
        </is>
      </c>
      <c r="F100" s="8" t="inlineStr">
        <is>
          <t>Résonance</t>
        </is>
      </c>
      <c r="G100" s="7" t="n">
        <v>130</v>
      </c>
      <c r="H100" s="8" t="inlineStr">
        <is>
          <t>被唱到的人身边 26 内的跑者受 30% 效果</t>
        </is>
      </c>
      <c r="I100" s="8" t="inlineStr">
        <is>
          <t>Runners within 26 of each target take 30%</t>
        </is>
      </c>
      <c r="J100" s="8" t="inlineStr">
        <is>
          <t>Les coureurs à 26 de chaque cible subissent 30 %</t>
        </is>
      </c>
      <c r="K100" s="7" t="inlineStr">
        <is>
          <t>reso=0.3; resoR=26</t>
        </is>
      </c>
      <c r="L100" s="9">
        <f>SUMIFS($G$3:$G$143,$A$3:$A$143,A100,$B$3:$B$143,B100,$C$3:$C$143,"&lt;="&amp;C100)</f>
        <v/>
      </c>
    </row>
    <row r="101">
      <c r="A101" s="6" t="inlineStr">
        <is>
          <t>tesla</t>
        </is>
      </c>
      <c r="B101" s="6" t="n">
        <v>2</v>
      </c>
      <c r="C101" s="6" t="n">
        <v>3</v>
      </c>
      <c r="D101" s="8" t="inlineStr">
        <is>
          <t>音符积累</t>
        </is>
      </c>
      <c r="E101" s="8" t="inlineStr">
        <is>
          <t>Note Stacks</t>
        </is>
      </c>
      <c r="F101" s="8" t="inlineStr">
        <is>
          <t>Notes cumulées</t>
        </is>
      </c>
      <c r="G101" s="7" t="n">
        <v>240</v>
      </c>
      <c r="H101" s="8" t="inlineStr">
        <is>
          <t>每次命中给跑者加 1 个音符（最多 5 个）</t>
        </is>
      </c>
      <c r="I101" s="8" t="inlineStr">
        <is>
          <t>Each hit adds a note to the runner (max 5)</t>
        </is>
      </c>
      <c r="J101" s="8" t="inlineStr">
        <is>
          <t>Chaque coup ajoute une note au coureur (max 5)</t>
        </is>
      </c>
      <c r="K101" s="7" t="inlineStr">
        <is>
          <t>notes=5</t>
        </is>
      </c>
      <c r="L101" s="9">
        <f>SUMIFS($G$3:$G$143,$A$3:$A$143,A101,$B$3:$B$143,B101,$C$3:$C$143,"&lt;="&amp;C101)</f>
        <v/>
      </c>
    </row>
    <row r="102">
      <c r="A102" s="6" t="inlineStr">
        <is>
          <t>tesla</t>
        </is>
      </c>
      <c r="B102" s="6" t="n">
        <v>2</v>
      </c>
      <c r="C102" s="6" t="n">
        <v>4</v>
      </c>
      <c r="D102" s="8" t="inlineStr">
        <is>
          <t>共振扩散</t>
        </is>
      </c>
      <c r="E102" s="8" t="inlineStr">
        <is>
          <t>Wide Resonance</t>
        </is>
      </c>
      <c r="F102" s="8" t="inlineStr">
        <is>
          <t>Résonance large</t>
        </is>
      </c>
      <c r="G102" s="7" t="n">
        <v>520</v>
      </c>
      <c r="H102" s="8" t="inlineStr">
        <is>
          <t>共振范围 +16，共振效果 50%</t>
        </is>
      </c>
      <c r="I102" s="8" t="inlineStr">
        <is>
          <t>Resonance radius +16, 50% effect</t>
        </is>
      </c>
      <c r="J102" s="8" t="inlineStr">
        <is>
          <t>Rayon +16, effet 50 %</t>
        </is>
      </c>
      <c r="K102" s="7" t="inlineStr">
        <is>
          <t>resoR+=16; reso=0.5</t>
        </is>
      </c>
      <c r="L102" s="9">
        <f>SUMIFS($G$3:$G$143,$A$3:$A$143,A102,$B$3:$B$143,B102,$C$3:$C$143,"&lt;="&amp;C102)</f>
        <v/>
      </c>
    </row>
    <row r="103">
      <c r="A103" s="6" t="inlineStr">
        <is>
          <t>tesla</t>
        </is>
      </c>
      <c r="B103" s="6" t="n">
        <v>2</v>
      </c>
      <c r="C103" s="6" t="n">
        <v>5</v>
      </c>
      <c r="D103" s="8" t="inlineStr">
        <is>
          <t>同步爆发</t>
        </is>
      </c>
      <c r="E103" s="8" t="inlineStr">
        <is>
          <t>Drop the Beat</t>
        </is>
      </c>
      <c r="F103" s="8" t="inlineStr">
        <is>
          <t>Lâcher le beat</t>
        </is>
      </c>
      <c r="G103" s="7" t="n">
        <v>1500</v>
      </c>
      <c r="H103" s="8" t="inlineStr">
        <is>
          <t>每第 4 首：引爆范围内所有音符，每个音符 ×2 效果</t>
        </is>
      </c>
      <c r="I103" s="8" t="inlineStr">
        <is>
          <t>Every 4th song detonates all notes in range, ×2 effect per note</t>
        </is>
      </c>
      <c r="J103" s="8" t="inlineStr">
        <is>
          <t>Tous les 4 morceaux, fait exploser les notes à portée, ×2 par note</t>
        </is>
      </c>
      <c r="K103" s="7" t="inlineStr">
        <is>
          <t>burst=2</t>
        </is>
      </c>
      <c r="L103" s="9">
        <f>SUMIFS($G$3:$G$143,$A$3:$A$143,A103,$B$3:$B$143,B103,$C$3:$C$143,"&lt;="&amp;C103)</f>
        <v/>
      </c>
    </row>
    <row r="104">
      <c r="A104" s="6" t="inlineStr">
        <is>
          <t>tesla</t>
        </is>
      </c>
      <c r="B104" s="6" t="n">
        <v>2</v>
      </c>
      <c r="C104" s="6" t="n">
        <v>6</v>
      </c>
      <c r="D104" s="8" t="inlineStr">
        <is>
          <t>超级低音炮</t>
        </is>
      </c>
      <c r="E104" s="8" t="inlineStr">
        <is>
          <t>Mega Bass</t>
        </is>
      </c>
      <c r="F104" s="8" t="inlineStr">
        <is>
          <t>Méga basse</t>
        </is>
      </c>
      <c r="G104" s="7" t="n">
        <v>3600</v>
      </c>
      <c r="H104" s="8" t="inlineStr">
        <is>
          <t>引爆效果 ×5，音符上限 8 个；引爆后音符清空要重新传</t>
        </is>
      </c>
      <c r="I104" s="8" t="inlineStr">
        <is>
          <t>Detonation ×5, up to 8 notes; notes reset afterwards</t>
        </is>
      </c>
      <c r="J104" s="8" t="inlineStr">
        <is>
          <t>Explosion ×5, jusqu’à 8 notes ; les notes repartent de zéro</t>
        </is>
      </c>
      <c r="K104" s="7" t="inlineStr">
        <is>
          <t>burst*=5; notes=8; dmg+=1</t>
        </is>
      </c>
      <c r="L104" s="9">
        <f>SUMIFS($G$3:$G$143,$A$3:$A$143,A104,$B$3:$B$143,B104,$C$3:$C$143,"&lt;="&amp;C104)</f>
        <v/>
      </c>
    </row>
    <row r="105">
      <c r="A105" s="6" t="inlineStr">
        <is>
          <t>tesla</t>
        </is>
      </c>
      <c r="B105" s="6" t="n">
        <v>3</v>
      </c>
      <c r="C105" s="6" t="n">
        <v>1</v>
      </c>
      <c r="D105" s="8" t="inlineStr">
        <is>
          <t>余音</t>
        </is>
      </c>
      <c r="E105" s="8" t="inlineStr">
        <is>
          <t>Afterglow</t>
        </is>
      </c>
      <c r="F105" s="8" t="inlineStr">
        <is>
          <t>Écho</t>
        </is>
      </c>
      <c r="G105" s="7" t="n">
        <v>50</v>
      </c>
      <c r="H105" s="8" t="inlineStr">
        <is>
          <t>发懵 +1 秒</t>
        </is>
      </c>
      <c r="I105" s="8" t="inlineStr">
        <is>
          <t>Dizzy +1 s</t>
        </is>
      </c>
      <c r="J105" s="8" t="inlineStr">
        <is>
          <t>Étourdi +1 s</t>
        </is>
      </c>
      <c r="K105" s="7" t="inlineStr">
        <is>
          <t>dizzyDur+=1</t>
        </is>
      </c>
      <c r="L105" s="9">
        <f>SUMIFS($G$3:$G$143,$A$3:$A$143,A105,$B$3:$B$143,B105,$C$3:$C$143,"&lt;="&amp;C105)</f>
        <v/>
      </c>
    </row>
    <row r="106">
      <c r="A106" s="6" t="inlineStr">
        <is>
          <t>tesla</t>
        </is>
      </c>
      <c r="B106" s="6" t="n">
        <v>3</v>
      </c>
      <c r="C106" s="6" t="n">
        <v>2</v>
      </c>
      <c r="D106" s="8" t="inlineStr">
        <is>
          <t>耳虫</t>
        </is>
      </c>
      <c r="E106" s="8" t="inlineStr">
        <is>
          <t>Earworm</t>
        </is>
      </c>
      <c r="F106" s="8" t="inlineStr">
        <is>
          <t>Ver d’oreille</t>
        </is>
      </c>
      <c r="G106" s="7" t="n">
        <v>110</v>
      </c>
      <c r="H106" s="8" t="inlineStr">
        <is>
          <t>发懵期间每秒受 0.6 点效果</t>
        </is>
      </c>
      <c r="I106" s="8" t="inlineStr">
        <is>
          <t>While dizzy, takes 0.6 per second</t>
        </is>
      </c>
      <c r="J106" s="8" t="inlineStr">
        <is>
          <t>Étourdi : 0,6 par seconde</t>
        </is>
      </c>
      <c r="K106" s="7" t="inlineStr">
        <is>
          <t>worm=0.6</t>
        </is>
      </c>
      <c r="L106" s="9">
        <f>SUMIFS($G$3:$G$143,$A$3:$A$143,A106,$B$3:$B$143,B106,$C$3:$C$143,"&lt;="&amp;C106)</f>
        <v/>
      </c>
    </row>
    <row r="107">
      <c r="A107" s="6" t="inlineStr">
        <is>
          <t>tesla</t>
        </is>
      </c>
      <c r="B107" s="6" t="n">
        <v>3</v>
      </c>
      <c r="C107" s="6" t="n">
        <v>3</v>
      </c>
      <c r="D107" s="8" t="inlineStr">
        <is>
          <t>离场余音</t>
        </is>
      </c>
      <c r="E107" s="8" t="inlineStr">
        <is>
          <t>Can’t Unhear</t>
        </is>
      </c>
      <c r="F107" s="8" t="inlineStr">
        <is>
          <t>Impossible à oublier</t>
        </is>
      </c>
      <c r="G107" s="7" t="n">
        <v>300</v>
      </c>
      <c r="H107" s="8" t="inlineStr">
        <is>
          <t>耳虫持续 4 秒，离开范围也甩不掉</t>
        </is>
      </c>
      <c r="I107" s="8" t="inlineStr">
        <is>
          <t>Earworm lasts 4 s, even out of range</t>
        </is>
      </c>
      <c r="J107" s="8" t="inlineStr">
        <is>
          <t>Le ver dure 4 s, même hors de portée</t>
        </is>
      </c>
      <c r="K107" s="7" t="inlineStr">
        <is>
          <t>wormDur=4</t>
        </is>
      </c>
      <c r="L107" s="9">
        <f>SUMIFS($G$3:$G$143,$A$3:$A$143,A107,$B$3:$B$143,B107,$C$3:$C$143,"&lt;="&amp;C107)</f>
        <v/>
      </c>
    </row>
    <row r="108">
      <c r="A108" s="6" t="inlineStr">
        <is>
          <t>tesla</t>
        </is>
      </c>
      <c r="B108" s="6" t="n">
        <v>3</v>
      </c>
      <c r="C108" s="6" t="n">
        <v>4</v>
      </c>
      <c r="D108" s="8" t="inlineStr">
        <is>
          <t>强化余音</t>
        </is>
      </c>
      <c r="E108" s="8" t="inlineStr">
        <is>
          <t>Louder Worm</t>
        </is>
      </c>
      <c r="F108" s="8" t="inlineStr">
        <is>
          <t>Ver plus fort</t>
        </is>
      </c>
      <c r="G108" s="7" t="n">
        <v>600</v>
      </c>
      <c r="H108" s="8" t="inlineStr">
        <is>
          <t>耳虫效果 ×2</t>
        </is>
      </c>
      <c r="I108" s="8" t="inlineStr">
        <is>
          <t>Earworm ×2</t>
        </is>
      </c>
      <c r="J108" s="8" t="inlineStr">
        <is>
          <t>Ver ×2</t>
        </is>
      </c>
      <c r="K108" s="7" t="inlineStr">
        <is>
          <t>worm*=2</t>
        </is>
      </c>
      <c r="L108" s="9">
        <f>SUMIFS($G$3:$G$143,$A$3:$A$143,A108,$B$3:$B$143,B108,$C$3:$C$143,"&lt;="&amp;C108)</f>
        <v/>
      </c>
    </row>
    <row r="109">
      <c r="A109" s="6" t="inlineStr">
        <is>
          <t>tesla</t>
        </is>
      </c>
      <c r="B109" s="6" t="n">
        <v>3</v>
      </c>
      <c r="C109" s="6" t="n">
        <v>5</v>
      </c>
      <c r="D109" s="8" t="inlineStr">
        <is>
          <t>专属耳虫</t>
        </is>
      </c>
      <c r="E109" s="8" t="inlineStr">
        <is>
          <t>Personal Worm</t>
        </is>
      </c>
      <c r="F109" s="8" t="inlineStr">
        <is>
          <t>Ver personnel</t>
        </is>
      </c>
      <c r="G109" s="7" t="n">
        <v>1300</v>
      </c>
      <c r="H109" s="8" t="inlineStr">
        <is>
          <t>最多同时盯 6 人，每秒再 +2</t>
        </is>
      </c>
      <c r="I109" s="8" t="inlineStr">
        <is>
          <t>Up to 6 runners at once, +2 per second</t>
        </is>
      </c>
      <c r="J109" s="8" t="inlineStr">
        <is>
          <t>Jusqu’à 6 coureurs, +2 par seconde</t>
        </is>
      </c>
      <c r="K109" s="7" t="inlineStr">
        <is>
          <t>wormCap=6; worm+=2</t>
        </is>
      </c>
      <c r="L109" s="9">
        <f>SUMIFS($G$3:$G$143,$A$3:$A$143,A109,$B$3:$B$143,B109,$C$3:$C$143,"&lt;="&amp;C109)</f>
        <v/>
      </c>
    </row>
    <row r="110">
      <c r="A110" s="6" t="inlineStr">
        <is>
          <t>tesla</t>
        </is>
      </c>
      <c r="B110" s="6" t="n">
        <v>3</v>
      </c>
      <c r="C110" s="6" t="n">
        <v>6</v>
      </c>
      <c r="D110" s="8" t="inlineStr">
        <is>
          <t>终极耳虫</t>
        </is>
      </c>
      <c r="E110" s="8" t="inlineStr">
        <is>
          <t>Ultimate Earworm</t>
        </is>
      </c>
      <c r="F110" s="8" t="inlineStr">
        <is>
          <t>Ver ultime</t>
        </is>
      </c>
      <c r="G110" s="7" t="n">
        <v>3200</v>
      </c>
      <c r="H110" s="8" t="inlineStr">
        <is>
          <t>最多 3 人，每秒效果 ×4，持续 8 秒，不能续时</t>
        </is>
      </c>
      <c r="I110" s="8" t="inlineStr">
        <is>
          <t>Up to 3 runners, ×4 per second, 8 s, can’t be refreshed</t>
        </is>
      </c>
      <c r="J110" s="8" t="inlineStr">
        <is>
          <t>Jusqu’à 3 coureurs, ×4 par seconde, 8 s, non renouvelable</t>
        </is>
      </c>
      <c r="K110" s="7" t="inlineStr">
        <is>
          <t>wormCap=3; worm*=4; wormDur=8; wormLock=1</t>
        </is>
      </c>
      <c r="L110" s="9">
        <f>SUMIFS($G$3:$G$143,$A$3:$A$143,A110,$B$3:$B$143,B110,$C$3:$C$143,"&lt;="&amp;C110)</f>
        <v/>
      </c>
    </row>
    <row r="111">
      <c r="A111" s="6" t="inlineStr">
        <is>
          <t>lure</t>
        </is>
      </c>
      <c r="B111" s="6" t="n">
        <v>1</v>
      </c>
      <c r="C111" s="6" t="n">
        <v>1</v>
      </c>
      <c r="D111" s="8" t="inlineStr">
        <is>
          <t>飘香</t>
        </is>
      </c>
      <c r="E111" s="8" t="inlineStr">
        <is>
          <t>Good Smell</t>
        </is>
      </c>
      <c r="F111" s="8" t="inlineStr">
        <is>
          <t>Bonne odeur</t>
        </is>
      </c>
      <c r="G111" s="7" t="n">
        <v>50</v>
      </c>
      <c r="H111" s="8" t="inlineStr">
        <is>
          <t>吸引范围 +15</t>
        </is>
      </c>
      <c r="I111" s="8" t="inlineStr">
        <is>
          <t>Lure range +15</t>
        </is>
      </c>
      <c r="J111" s="8" t="inlineStr">
        <is>
          <t>Portée +15</t>
        </is>
      </c>
      <c r="K111" s="7" t="inlineStr">
        <is>
          <t>range+=15</t>
        </is>
      </c>
      <c r="L111" s="9">
        <f>SUMIFS($G$3:$G$143,$A$3:$A$143,A111,$B$3:$B$143,B111,$C$3:$C$143,"&lt;="&amp;C111)</f>
        <v/>
      </c>
    </row>
    <row r="112">
      <c r="A112" s="6" t="inlineStr">
        <is>
          <t>lure</t>
        </is>
      </c>
      <c r="B112" s="6" t="n">
        <v>1</v>
      </c>
      <c r="C112" s="6" t="n">
        <v>2</v>
      </c>
      <c r="D112" s="8" t="inlineStr">
        <is>
          <t>加座</t>
        </is>
      </c>
      <c r="E112" s="8" t="inlineStr">
        <is>
          <t>More Seats</t>
        </is>
      </c>
      <c r="F112" s="8" t="inlineStr">
        <is>
          <t>Plus de places</t>
        </is>
      </c>
      <c r="G112" s="7" t="n">
        <v>90</v>
      </c>
      <c r="H112" s="8" t="inlineStr">
        <is>
          <t>一次多招呼 2 人</t>
        </is>
      </c>
      <c r="I112" s="8" t="inlineStr">
        <is>
          <t>Invites 2 more at a time</t>
        </is>
      </c>
      <c r="J112" s="8" t="inlineStr">
        <is>
          <t>Invite 2 de plus à la fois</t>
        </is>
      </c>
      <c r="K112" s="7" t="inlineStr">
        <is>
          <t>cap+=2</t>
        </is>
      </c>
      <c r="L112" s="9">
        <f>SUMIFS($G$3:$G$143,$A$3:$A$143,A112,$B$3:$B$143,B112,$C$3:$C$143,"&lt;="&amp;C112)</f>
        <v/>
      </c>
    </row>
    <row r="113">
      <c r="A113" s="6" t="inlineStr">
        <is>
          <t>lure</t>
        </is>
      </c>
      <c r="B113" s="6" t="n">
        <v>1</v>
      </c>
      <c r="C113" s="6" t="n">
        <v>3</v>
      </c>
      <c r="D113" s="8" t="inlineStr">
        <is>
          <t>烧烤摊</t>
        </is>
      </c>
      <c r="E113" s="8" t="inlineStr">
        <is>
          <t>BBQ Stall</t>
        </is>
      </c>
      <c r="F113" s="8" t="inlineStr">
        <is>
          <t>Barbecue</t>
        </is>
      </c>
      <c r="G113" s="7" t="n">
        <v>260</v>
      </c>
      <c r="H113" s="8" t="inlineStr">
        <is>
          <t>停留 1.5 秒，吃完辣到冒汗（挂上“辣”）</t>
        </is>
      </c>
      <c r="I113" s="8" t="inlineStr">
        <is>
          <t>Stops 1.5 s; diners leave spicy</t>
        </is>
      </c>
      <c r="J113" s="8" t="inlineStr">
        <is>
          <t>Arrêt 1,5 s ; les clients repartent pimentés</t>
        </is>
      </c>
      <c r="K113" s="7" t="inlineStr">
        <is>
          <t>stay=1.5; spicy=0.6</t>
        </is>
      </c>
      <c r="L113" s="9">
        <f>SUMIFS($G$3:$G$143,$A$3:$A$143,A113,$B$3:$B$143,B113,$C$3:$C$143,"&lt;="&amp;C113)</f>
        <v/>
      </c>
    </row>
    <row r="114">
      <c r="A114" s="6" t="inlineStr">
        <is>
          <t>lure</t>
        </is>
      </c>
      <c r="B114" s="6" t="n">
        <v>1</v>
      </c>
      <c r="C114" s="6" t="n">
        <v>4</v>
      </c>
      <c r="D114" s="8" t="inlineStr">
        <is>
          <t>大排档</t>
        </is>
      </c>
      <c r="E114" s="8" t="inlineStr">
        <is>
          <t>Food Court</t>
        </is>
      </c>
      <c r="F114" s="8" t="inlineStr">
        <is>
          <t>Aire de restauration</t>
        </is>
      </c>
      <c r="G114" s="7" t="n">
        <v>600</v>
      </c>
      <c r="H114" s="8" t="inlineStr">
        <is>
          <t>一次再多招呼 3 人</t>
        </is>
      </c>
      <c r="I114" s="8" t="inlineStr">
        <is>
          <t>3 more per invite</t>
        </is>
      </c>
      <c r="J114" s="8" t="inlineStr">
        <is>
          <t>3 de plus par invitation</t>
        </is>
      </c>
      <c r="K114" s="7" t="inlineStr">
        <is>
          <t>cap+=3</t>
        </is>
      </c>
      <c r="L114" s="9">
        <f>SUMIFS($G$3:$G$143,$A$3:$A$143,A114,$B$3:$B$143,B114,$C$3:$C$143,"&lt;="&amp;C114)</f>
        <v/>
      </c>
    </row>
    <row r="115">
      <c r="A115" s="6" t="inlineStr">
        <is>
          <t>lure</t>
        </is>
      </c>
      <c r="B115" s="6" t="n">
        <v>1</v>
      </c>
      <c r="C115" s="6" t="n">
        <v>5</v>
      </c>
      <c r="D115" s="8" t="inlineStr">
        <is>
          <t>爆款奶茶</t>
        </is>
      </c>
      <c r="E115" s="8" t="inlineStr">
        <is>
          <t>Viral Bubble Tea</t>
        </is>
      </c>
      <c r="F115" s="8" t="inlineStr">
        <is>
          <t>Bubble tea viral</t>
        </is>
      </c>
      <c r="G115" s="7" t="n">
        <v>1300</v>
      </c>
      <c r="H115" s="8" t="inlineStr">
        <is>
          <t>停留 2.5 秒，辣度 ×2</t>
        </is>
      </c>
      <c r="I115" s="8" t="inlineStr">
        <is>
          <t>Stops 2.5 s, spice ×2</t>
        </is>
      </c>
      <c r="J115" s="8" t="inlineStr">
        <is>
          <t>Arrêt 2,5 s, piment ×2</t>
        </is>
      </c>
      <c r="K115" s="7" t="inlineStr">
        <is>
          <t>stay=2.5; spicy*=2</t>
        </is>
      </c>
      <c r="L115" s="9">
        <f>SUMIFS($G$3:$G$143,$A$3:$A$143,A115,$B$3:$B$143,B115,$C$3:$C$143,"&lt;="&amp;C115)</f>
        <v/>
      </c>
    </row>
    <row r="116">
      <c r="A116" s="6" t="inlineStr">
        <is>
          <t>lure</t>
        </is>
      </c>
      <c r="B116" s="6" t="n">
        <v>1</v>
      </c>
      <c r="C116" s="6" t="n">
        <v>6</v>
      </c>
      <c r="D116" s="8" t="inlineStr">
        <is>
          <t>夜市开席</t>
        </is>
      </c>
      <c r="E116" s="8" t="inlineStr">
        <is>
          <t>Night Market</t>
        </is>
      </c>
      <c r="F116" s="8" t="inlineStr">
        <is>
          <t>Marché de nuit</t>
        </is>
      </c>
      <c r="G116" s="7" t="n">
        <v>3200</v>
      </c>
      <c r="H116" s="8" t="inlineStr">
        <is>
          <t>每 10 秒一次招呼最多 15 人停 3 秒</t>
        </is>
      </c>
      <c r="I116" s="8" t="inlineStr">
        <is>
          <t>Every 10 s up to 15 runners stop for 3 s</t>
        </is>
      </c>
      <c r="J116" s="8" t="inlineStr">
        <is>
          <t>Toutes les 10 s, jusqu’à 15 coureurs s’arrêtent 3 s</t>
        </is>
      </c>
      <c r="K116" s="7" t="inlineStr">
        <is>
          <t>cap=15; stay=3; rate=10</t>
        </is>
      </c>
      <c r="L116" s="9">
        <f>SUMIFS($G$3:$G$143,$A$3:$A$143,A116,$B$3:$B$143,B116,$C$3:$C$143,"&lt;="&amp;C116)</f>
        <v/>
      </c>
    </row>
    <row r="117">
      <c r="A117" s="6" t="inlineStr">
        <is>
          <t>lure</t>
        </is>
      </c>
      <c r="B117" s="6" t="n">
        <v>2</v>
      </c>
      <c r="C117" s="6" t="n">
        <v>1</v>
      </c>
      <c r="D117" s="8" t="inlineStr">
        <is>
          <t>软垫</t>
        </is>
      </c>
      <c r="E117" s="8" t="inlineStr">
        <is>
          <t>Soft Cushion</t>
        </is>
      </c>
      <c r="F117" s="8" t="inlineStr">
        <is>
          <t>Coussin</t>
        </is>
      </c>
      <c r="G117" s="7" t="n">
        <v>50</v>
      </c>
      <c r="H117" s="8" t="inlineStr">
        <is>
          <t>停留 +0.5 秒</t>
        </is>
      </c>
      <c r="I117" s="8" t="inlineStr">
        <is>
          <t>Stay +0.5 s</t>
        </is>
      </c>
      <c r="J117" s="8" t="inlineStr">
        <is>
          <t>Arrêt +0,5 s</t>
        </is>
      </c>
      <c r="K117" s="7" t="inlineStr">
        <is>
          <t>stay+=0.5</t>
        </is>
      </c>
      <c r="L117" s="9">
        <f>SUMIFS($G$3:$G$143,$A$3:$A$143,A117,$B$3:$B$143,B117,$C$3:$C$143,"&lt;="&amp;C117)</f>
        <v/>
      </c>
    </row>
    <row r="118">
      <c r="A118" s="6" t="inlineStr">
        <is>
          <t>lure</t>
        </is>
      </c>
      <c r="B118" s="6" t="n">
        <v>2</v>
      </c>
      <c r="C118" s="6" t="n">
        <v>2</v>
      </c>
      <c r="D118" s="8" t="inlineStr">
        <is>
          <t>翻台快</t>
        </is>
      </c>
      <c r="E118" s="8" t="inlineStr">
        <is>
          <t>Quick Turnover</t>
        </is>
      </c>
      <c r="F118" s="8" t="inlineStr">
        <is>
          <t>Rotation rapide</t>
        </is>
      </c>
      <c r="G118" s="7" t="n">
        <v>90</v>
      </c>
      <c r="H118" s="8" t="inlineStr">
        <is>
          <t>招呼间隔 −20%</t>
        </is>
      </c>
      <c r="I118" s="8" t="inlineStr">
        <is>
          <t>Invite interval −20%</t>
        </is>
      </c>
      <c r="J118" s="8" t="inlineStr">
        <is>
          <t>Intervalle −20 %</t>
        </is>
      </c>
      <c r="K118" s="7" t="inlineStr">
        <is>
          <t>rate*=0.8</t>
        </is>
      </c>
      <c r="L118" s="9">
        <f>SUMIFS($G$3:$G$143,$A$3:$A$143,A118,$B$3:$B$143,B118,$C$3:$C$143,"&lt;="&amp;C118)</f>
        <v/>
      </c>
    </row>
    <row r="119">
      <c r="A119" s="6" t="inlineStr">
        <is>
          <t>lure</t>
        </is>
      </c>
      <c r="B119" s="6" t="n">
        <v>2</v>
      </c>
      <c r="C119" s="6" t="n">
        <v>3</v>
      </c>
      <c r="D119" s="8" t="inlineStr">
        <is>
          <t>沙发休息站</t>
        </is>
      </c>
      <c r="E119" s="8" t="inlineStr">
        <is>
          <t>Sofa Lounge</t>
        </is>
      </c>
      <c r="F119" s="8" t="inlineStr">
        <is>
          <t>Salon canapé</t>
        </is>
      </c>
      <c r="G119" s="7" t="n">
        <v>280</v>
      </c>
      <c r="H119" s="8" t="inlineStr">
        <is>
          <t>2 个座位，每人躺 3 秒；有空位才招新人</t>
        </is>
      </c>
      <c r="I119" s="8" t="inlineStr">
        <is>
          <t>2 seats, 3 s rest each; only invites when a seat is free</t>
        </is>
      </c>
      <c r="J119" s="8" t="inlineStr">
        <is>
          <t>2 places, 3 s de repos ; invite seulement s’il y a de la place</t>
        </is>
      </c>
      <c r="K119" s="7" t="inlineStr">
        <is>
          <t>seats=2; stay=3</t>
        </is>
      </c>
      <c r="L119" s="9">
        <f>SUMIFS($G$3:$G$143,$A$3:$A$143,A119,$B$3:$B$143,B119,$C$3:$C$143,"&lt;="&amp;C119)</f>
        <v/>
      </c>
    </row>
    <row r="120">
      <c r="A120" s="6" t="inlineStr">
        <is>
          <t>lure</t>
        </is>
      </c>
      <c r="B120" s="6" t="n">
        <v>2</v>
      </c>
      <c r="C120" s="6" t="n">
        <v>4</v>
      </c>
      <c r="D120" s="8" t="inlineStr">
        <is>
          <t>深度放松</t>
        </is>
      </c>
      <c r="E120" s="8" t="inlineStr">
        <is>
          <t>Deep Relax</t>
        </is>
      </c>
      <c r="F120" s="8" t="inlineStr">
        <is>
          <t>Détente profonde</t>
        </is>
      </c>
      <c r="G120" s="7" t="n">
        <v>600</v>
      </c>
      <c r="H120" s="8" t="inlineStr">
        <is>
          <t>每人躺 4.5 秒</t>
        </is>
      </c>
      <c r="I120" s="8" t="inlineStr">
        <is>
          <t>4.5 s rest each</t>
        </is>
      </c>
      <c r="J120" s="8" t="inlineStr">
        <is>
          <t>Repos de 4,5 s</t>
        </is>
      </c>
      <c r="K120" s="7" t="inlineStr">
        <is>
          <t>stay=4.5</t>
        </is>
      </c>
      <c r="L120" s="9">
        <f>SUMIFS($G$3:$G$143,$A$3:$A$143,A120,$B$3:$B$143,B120,$C$3:$C$143,"&lt;="&amp;C120)</f>
        <v/>
      </c>
    </row>
    <row r="121">
      <c r="A121" s="6" t="inlineStr">
        <is>
          <t>lure</t>
        </is>
      </c>
      <c r="B121" s="6" t="n">
        <v>2</v>
      </c>
      <c r="C121" s="6" t="n">
        <v>5</v>
      </c>
      <c r="D121" s="8" t="inlineStr">
        <is>
          <t>VIP 沙发</t>
        </is>
      </c>
      <c r="E121" s="8" t="inlineStr">
        <is>
          <t>VIP Sofa</t>
        </is>
      </c>
      <c r="F121" s="8" t="inlineStr">
        <is>
          <t>Canapé VIP</t>
        </is>
      </c>
      <c r="G121" s="7" t="n">
        <v>1300</v>
      </c>
      <c r="H121" s="8" t="inlineStr">
        <is>
          <t>3 个座位，躺 6 秒</t>
        </is>
      </c>
      <c r="I121" s="8" t="inlineStr">
        <is>
          <t>3 seats, 6 s rest</t>
        </is>
      </c>
      <c r="J121" s="8" t="inlineStr">
        <is>
          <t>3 places, 6 s</t>
        </is>
      </c>
      <c r="K121" s="7" t="inlineStr">
        <is>
          <t>seats=3; stay=6</t>
        </is>
      </c>
      <c r="L121" s="9">
        <f>SUMIFS($G$3:$G$143,$A$3:$A$143,A121,$B$3:$B$143,B121,$C$3:$C$143,"&lt;="&amp;C121)</f>
        <v/>
      </c>
    </row>
    <row r="122">
      <c r="A122" s="6" t="inlineStr">
        <is>
          <t>lure</t>
        </is>
      </c>
      <c r="B122" s="6" t="n">
        <v>2</v>
      </c>
      <c r="C122" s="6" t="n">
        <v>6</v>
      </c>
      <c r="D122" s="8" t="inlineStr">
        <is>
          <t>至尊躺平区</t>
        </is>
      </c>
      <c r="E122" s="8" t="inlineStr">
        <is>
          <t>Ultimate Lie-Flat</t>
        </is>
      </c>
      <c r="F122" s="8" t="inlineStr">
        <is>
          <t>Zone de flemme ultime</t>
        </is>
      </c>
      <c r="G122" s="7" t="n">
        <v>3200</v>
      </c>
      <c r="H122" s="8" t="inlineStr">
        <is>
          <t>2 个座位，躺 12 秒</t>
        </is>
      </c>
      <c r="I122" s="8" t="inlineStr">
        <is>
          <t>2 seats, 12 s rest</t>
        </is>
      </c>
      <c r="J122" s="8" t="inlineStr">
        <is>
          <t>2 places, 12 s</t>
        </is>
      </c>
      <c r="K122" s="7" t="inlineStr">
        <is>
          <t>seats=2; stay=12</t>
        </is>
      </c>
      <c r="L122" s="9">
        <f>SUMIFS($G$3:$G$143,$A$3:$A$143,A122,$B$3:$B$143,B122,$C$3:$C$143,"&lt;="&amp;C122)</f>
        <v/>
      </c>
    </row>
    <row r="123">
      <c r="A123" s="6" t="inlineStr">
        <is>
          <t>lure</t>
        </is>
      </c>
      <c r="B123" s="6" t="n">
        <v>3</v>
      </c>
      <c r="C123" s="6" t="n">
        <v>1</v>
      </c>
      <c r="D123" s="8" t="inlineStr">
        <is>
          <t>快速吆喝</t>
        </is>
      </c>
      <c r="E123" s="8" t="inlineStr">
        <is>
          <t>Quick Call</t>
        </is>
      </c>
      <c r="F123" s="8" t="inlineStr">
        <is>
          <t>Appel rapide</t>
        </is>
      </c>
      <c r="G123" s="7" t="n">
        <v>50</v>
      </c>
      <c r="H123" s="8" t="inlineStr">
        <is>
          <t>招呼间隔 −20%</t>
        </is>
      </c>
      <c r="I123" s="8" t="inlineStr">
        <is>
          <t>Invite interval −20%</t>
        </is>
      </c>
      <c r="J123" s="8" t="inlineStr">
        <is>
          <t>Intervalle −20 %</t>
        </is>
      </c>
      <c r="K123" s="7" t="inlineStr">
        <is>
          <t>rate*=0.8</t>
        </is>
      </c>
      <c r="L123" s="9">
        <f>SUMIFS($G$3:$G$143,$A$3:$A$143,A123,$B$3:$B$143,B123,$C$3:$C$143,"&lt;="&amp;C123)</f>
        <v/>
      </c>
    </row>
    <row r="124">
      <c r="A124" s="6" t="inlineStr">
        <is>
          <t>lure</t>
        </is>
      </c>
      <c r="B124" s="6" t="n">
        <v>3</v>
      </c>
      <c r="C124" s="6" t="n">
        <v>2</v>
      </c>
      <c r="D124" s="8" t="inlineStr">
        <is>
          <t>打断冲刺</t>
        </is>
      </c>
      <c r="E124" s="8" t="inlineStr">
        <is>
          <t>Break the Sprint</t>
        </is>
      </c>
      <c r="F124" s="8" t="inlineStr">
        <is>
          <t>Casser le sprint</t>
        </is>
      </c>
      <c r="G124" s="7" t="n">
        <v>100</v>
      </c>
      <c r="H124" s="8" t="inlineStr">
        <is>
          <t>围观者失去加速</t>
        </is>
      </c>
      <c r="I124" s="8" t="inlineStr">
        <is>
          <t>Onlookers lose speed boosts</t>
        </is>
      </c>
      <c r="J124" s="8" t="inlineStr">
        <is>
          <t>Les curieux perdent leurs accélérations</t>
        </is>
      </c>
      <c r="K124" s="7" t="inlineStr">
        <is>
          <t>cleanse=1</t>
        </is>
      </c>
      <c r="L124" s="9">
        <f>SUMIFS($G$3:$G$143,$A$3:$A$143,A124,$B$3:$B$143,B124,$C$3:$C$143,"&lt;="&amp;C124)</f>
        <v/>
      </c>
    </row>
    <row r="125">
      <c r="A125" s="6" t="inlineStr">
        <is>
          <t>lure</t>
        </is>
      </c>
      <c r="B125" s="6" t="n">
        <v>3</v>
      </c>
      <c r="C125" s="6" t="n">
        <v>3</v>
      </c>
      <c r="D125" s="8" t="inlineStr">
        <is>
          <t>球鞋展示柜</t>
        </is>
      </c>
      <c r="E125" s="8" t="inlineStr">
        <is>
          <t>Sneaker Showcase</t>
        </is>
      </c>
      <c r="F125" s="8" t="inlineStr">
        <is>
          <t>Vitrine de baskets</t>
        </is>
      </c>
      <c r="G125" s="7" t="n">
        <v>280</v>
      </c>
      <c r="H125" s="8" t="inlineStr">
        <is>
          <t>围观者还会失去能量盾和回血</t>
        </is>
      </c>
      <c r="I125" s="8" t="inlineStr">
        <is>
          <t>Onlookers also lose energy shields and regen</t>
        </is>
      </c>
      <c r="J125" s="8" t="inlineStr">
        <is>
          <t>Les curieux perdent aussi boucliers et régénération</t>
        </is>
      </c>
      <c r="K125" s="7" t="inlineStr">
        <is>
          <t>cleanse=2</t>
        </is>
      </c>
      <c r="L125" s="9">
        <f>SUMIFS($G$3:$G$143,$A$3:$A$143,A125,$B$3:$B$143,B125,$C$3:$C$143,"&lt;="&amp;C125)</f>
        <v/>
      </c>
    </row>
    <row r="126">
      <c r="A126" s="6" t="inlineStr">
        <is>
          <t>lure</t>
        </is>
      </c>
      <c r="B126" s="6" t="n">
        <v>3</v>
      </c>
      <c r="C126" s="6" t="n">
        <v>4</v>
      </c>
      <c r="D126" s="8" t="inlineStr">
        <is>
          <t>排长队</t>
        </is>
      </c>
      <c r="E126" s="8" t="inlineStr">
        <is>
          <t>Long Queue</t>
        </is>
      </c>
      <c r="F126" s="8" t="inlineStr">
        <is>
          <t>Longue file</t>
        </is>
      </c>
      <c r="G126" s="7" t="n">
        <v>600</v>
      </c>
      <c r="H126" s="8" t="inlineStr">
        <is>
          <t>一次多招呼 3 人</t>
        </is>
      </c>
      <c r="I126" s="8" t="inlineStr">
        <is>
          <t>3 more per invite</t>
        </is>
      </c>
      <c r="J126" s="8" t="inlineStr">
        <is>
          <t>3 de plus par invitation</t>
        </is>
      </c>
      <c r="K126" s="7" t="inlineStr">
        <is>
          <t>cap+=3</t>
        </is>
      </c>
      <c r="L126" s="9">
        <f>SUMIFS($G$3:$G$143,$A$3:$A$143,A126,$B$3:$B$143,B126,$C$3:$C$143,"&lt;="&amp;C126)</f>
        <v/>
      </c>
    </row>
    <row r="127">
      <c r="A127" s="6" t="inlineStr">
        <is>
          <t>lure</t>
        </is>
      </c>
      <c r="B127" s="6" t="n">
        <v>3</v>
      </c>
      <c r="C127" s="6" t="n">
        <v>5</v>
      </c>
      <c r="D127" s="8" t="inlineStr">
        <is>
          <t>限量款</t>
        </is>
      </c>
      <c r="E127" s="8" t="inlineStr">
        <is>
          <t>Limited Edition</t>
        </is>
      </c>
      <c r="F127" s="8" t="inlineStr">
        <is>
          <t>Modèle limité</t>
        </is>
      </c>
      <c r="G127" s="7" t="n">
        <v>1300</v>
      </c>
      <c r="H127" s="8" t="inlineStr">
        <is>
          <t>耐力跑者和巨鲸也会来围观</t>
        </is>
      </c>
      <c r="I127" s="8" t="inlineStr">
        <is>
          <t>Endurance runners and whales come too</t>
        </is>
      </c>
      <c r="J127" s="8" t="inlineStr">
        <is>
          <t>Endurants et baleines viennent aussi</t>
        </is>
      </c>
      <c r="K127" s="7" t="inlineStr">
        <is>
          <t>lureHeavy=1</t>
        </is>
      </c>
      <c r="L127" s="9">
        <f>SUMIFS($G$3:$G$143,$A$3:$A$143,A127,$B$3:$B$143,B127,$C$3:$C$143,"&lt;="&amp;C127)</f>
        <v/>
      </c>
    </row>
    <row r="128">
      <c r="A128" s="6" t="inlineStr">
        <is>
          <t>lure</t>
        </is>
      </c>
      <c r="B128" s="6" t="n">
        <v>3</v>
      </c>
      <c r="C128" s="6" t="n">
        <v>6</v>
      </c>
      <c r="D128" s="8" t="inlineStr">
        <is>
          <t>限量发售会</t>
        </is>
      </c>
      <c r="E128" s="8" t="inlineStr">
        <is>
          <t>Launch Event</t>
        </is>
      </c>
      <c r="F128" s="8" t="inlineStr">
        <is>
          <t>Lancement exclusif</t>
        </is>
      </c>
      <c r="G128" s="7" t="n">
        <v>3000</v>
      </c>
      <c r="H128" s="8" t="inlineStr">
        <is>
          <t>每 9 秒：范围 ×1.4 内所有跑者（Boss 除外）失去增益并停 1 秒</t>
        </is>
      </c>
      <c r="I128" s="8" t="inlineStr">
        <is>
          <t>Every 9 s: every runner within 1.4× range (not bosses) loses buffs and stops 1 s</t>
        </is>
      </c>
      <c r="J128" s="8" t="inlineStr">
        <is>
          <t>Toutes les 9 s : tous les coureurs à 1,4× la portée (sauf boss) perdent leurs bonus et s’arrêtent 1 s</t>
        </is>
      </c>
      <c r="K128" s="7" t="inlineStr">
        <is>
          <t>launch=9</t>
        </is>
      </c>
      <c r="L128" s="9">
        <f>SUMIFS($G$3:$G$143,$A$3:$A$143,A128,$B$3:$B$143,B128,$C$3:$C$143,"&lt;="&amp;C128)</f>
        <v/>
      </c>
    </row>
    <row r="129">
      <c r="A129" s="6" t="inlineStr">
        <is>
          <t>miner</t>
        </is>
      </c>
      <c r="B129" s="6" t="n">
        <v>1</v>
      </c>
      <c r="C129" s="6" t="n">
        <v>1</v>
      </c>
      <c r="D129" s="8" t="inlineStr">
        <is>
          <t>超频 CPU</t>
        </is>
      </c>
      <c r="E129" s="8" t="inlineStr">
        <is>
          <t>Overclocked CPU</t>
        </is>
      </c>
      <c r="F129" s="8" t="inlineStr">
        <is>
          <t>CPU surcadencé</t>
        </is>
      </c>
      <c r="G129" s="7" t="n">
        <v>60</v>
      </c>
      <c r="H129" s="8" t="inlineStr">
        <is>
          <t>算力 +50%</t>
        </is>
      </c>
      <c r="I129" s="8" t="inlineStr">
        <is>
          <t>Hash +50%</t>
        </is>
      </c>
      <c r="J129" s="8" t="inlineStr">
        <is>
          <t>Puissance +50 %</t>
        </is>
      </c>
      <c r="K129" s="7" t="inlineStr">
        <is>
          <t>hash*=1.5</t>
        </is>
      </c>
      <c r="L129" s="9">
        <f>SUMIFS($G$3:$G$143,$A$3:$A$143,A129,$B$3:$B$143,B129,$C$3:$C$143,"&lt;="&amp;C129)</f>
        <v/>
      </c>
    </row>
    <row r="130">
      <c r="A130" s="6" t="inlineStr">
        <is>
          <t>miner</t>
        </is>
      </c>
      <c r="B130" s="6" t="n">
        <v>1</v>
      </c>
      <c r="C130" s="6" t="n">
        <v>2</v>
      </c>
      <c r="D130" s="8" t="inlineStr">
        <is>
          <t>双核处理器</t>
        </is>
      </c>
      <c r="E130" s="8" t="inlineStr">
        <is>
          <t>Dual-core CPU</t>
        </is>
      </c>
      <c r="F130" s="8" t="inlineStr">
        <is>
          <t>Processeur double cœur</t>
        </is>
      </c>
      <c r="G130" s="7" t="n">
        <v>120</v>
      </c>
      <c r="H130" s="8" t="inlineStr">
        <is>
          <t>算力 +50%</t>
        </is>
      </c>
      <c r="I130" s="8" t="inlineStr">
        <is>
          <t>Hash +50%</t>
        </is>
      </c>
      <c r="J130" s="8" t="inlineStr">
        <is>
          <t>Puissance +50 %</t>
        </is>
      </c>
      <c r="K130" s="7" t="inlineStr">
        <is>
          <t>hash*=1.5</t>
        </is>
      </c>
      <c r="L130" s="9">
        <f>SUMIFS($G$3:$G$143,$A$3:$A$143,A130,$B$3:$B$143,B130,$C$3:$C$143,"&lt;="&amp;C130)</f>
        <v/>
      </c>
    </row>
    <row r="131">
      <c r="A131" s="6" t="inlineStr">
        <is>
          <t>miner</t>
        </is>
      </c>
      <c r="B131" s="6" t="n">
        <v>1</v>
      </c>
      <c r="C131" s="6" t="n">
        <v>3</v>
      </c>
      <c r="D131" s="8" t="inlineStr">
        <is>
          <t>显卡挖矿</t>
        </is>
      </c>
      <c r="E131" s="8" t="inlineStr">
        <is>
          <t>GPU Mining</t>
        </is>
      </c>
      <c r="F131" s="8" t="inlineStr">
        <is>
          <t>Minage GPU</t>
        </is>
      </c>
      <c r="G131" s="7" t="n">
        <v>300</v>
      </c>
      <c r="H131" s="8" t="inlineStr">
        <is>
          <t>算力 ×3（2010 年显卡挖矿开始流行）</t>
        </is>
      </c>
      <c r="I131" s="8" t="inlineStr">
        <is>
          <t>Hash ×3 (GPU mining took off in 2010)</t>
        </is>
      </c>
      <c r="J131" s="8" t="inlineStr">
        <is>
          <t>Puissance ×3 (le minage GPU décolle en 2010)</t>
        </is>
      </c>
      <c r="K131" s="7" t="inlineStr">
        <is>
          <t>hash*=3</t>
        </is>
      </c>
      <c r="L131" s="9">
        <f>SUMIFS($G$3:$G$143,$A$3:$A$143,A131,$B$3:$B$143,B131,$C$3:$C$143,"&lt;="&amp;C131)</f>
        <v/>
      </c>
    </row>
    <row r="132">
      <c r="A132" s="6" t="inlineStr">
        <is>
          <t>miner</t>
        </is>
      </c>
      <c r="B132" s="6" t="n">
        <v>1</v>
      </c>
      <c r="C132" s="6" t="n">
        <v>4</v>
      </c>
      <c r="D132" s="8" t="inlineStr">
        <is>
          <t>多卡矿机</t>
        </is>
      </c>
      <c r="E132" s="8" t="inlineStr">
        <is>
          <t>Multi-GPU Rig</t>
        </is>
      </c>
      <c r="F132" s="8" t="inlineStr">
        <is>
          <t>Rig multi-GPU</t>
        </is>
      </c>
      <c r="G132" s="7" t="n">
        <v>700</v>
      </c>
      <c r="H132" s="8" t="inlineStr">
        <is>
          <t>算力 ×2</t>
        </is>
      </c>
      <c r="I132" s="8" t="inlineStr">
        <is>
          <t>Hash ×2</t>
        </is>
      </c>
      <c r="J132" s="8" t="inlineStr">
        <is>
          <t>Puissance ×2</t>
        </is>
      </c>
      <c r="K132" s="7" t="inlineStr">
        <is>
          <t>hash*=2</t>
        </is>
      </c>
      <c r="L132" s="9">
        <f>SUMIFS($G$3:$G$143,$A$3:$A$143,A132,$B$3:$B$143,B132,$C$3:$C$143,"&lt;="&amp;C132)</f>
        <v/>
      </c>
    </row>
    <row r="133">
      <c r="A133" s="6" t="inlineStr">
        <is>
          <t>miner</t>
        </is>
      </c>
      <c r="B133" s="6" t="n">
        <v>1</v>
      </c>
      <c r="C133" s="6" t="n">
        <v>5</v>
      </c>
      <c r="D133" s="8" t="inlineStr">
        <is>
          <t>显卡农场</t>
        </is>
      </c>
      <c r="E133" s="8" t="inlineStr">
        <is>
          <t>GPU Farm</t>
        </is>
      </c>
      <c r="F133" s="8" t="inlineStr">
        <is>
          <t>Ferme GPU</t>
        </is>
      </c>
      <c r="G133" s="7" t="n">
        <v>1500</v>
      </c>
      <c r="H133" s="8" t="inlineStr">
        <is>
          <t>算力 ×2.5</t>
        </is>
      </c>
      <c r="I133" s="8" t="inlineStr">
        <is>
          <t>Hash ×2.5</t>
        </is>
      </c>
      <c r="J133" s="8" t="inlineStr">
        <is>
          <t>Puissance ×2,5</t>
        </is>
      </c>
      <c r="K133" s="7" t="inlineStr">
        <is>
          <t>hash*=2.5</t>
        </is>
      </c>
      <c r="L133" s="9">
        <f>SUMIFS($G$3:$G$143,$A$3:$A$143,A133,$B$3:$B$143,B133,$C$3:$C$143,"&lt;="&amp;C133)</f>
        <v/>
      </c>
    </row>
    <row r="134">
      <c r="A134" s="6" t="inlineStr">
        <is>
          <t>miner</t>
        </is>
      </c>
      <c r="B134" s="6" t="n">
        <v>2</v>
      </c>
      <c r="C134" s="6" t="n">
        <v>1</v>
      </c>
      <c r="D134" s="8" t="inlineStr">
        <is>
          <t>加入矿池</t>
        </is>
      </c>
      <c r="E134" s="8" t="inlineStr">
        <is>
          <t>Join a Pool</t>
        </is>
      </c>
      <c r="F134" s="8" t="inlineStr">
        <is>
          <t>Rejoindre un pool</t>
        </is>
      </c>
      <c r="G134" s="7" t="n">
        <v>70</v>
      </c>
      <c r="H134" s="8" t="inlineStr">
        <is>
          <t>出块奖励 +25%</t>
        </is>
      </c>
      <c r="I134" s="8" t="inlineStr">
        <is>
          <t>Block reward +25%</t>
        </is>
      </c>
      <c r="J134" s="8" t="inlineStr">
        <is>
          <t>Récompense de bloc +25 %</t>
        </is>
      </c>
      <c r="K134" s="7" t="inlineStr">
        <is>
          <t>blockBonus+=0.25</t>
        </is>
      </c>
      <c r="L134" s="9">
        <f>SUMIFS($G$3:$G$143,$A$3:$A$143,A134,$B$3:$B$143,B134,$C$3:$C$143,"&lt;="&amp;C134)</f>
        <v/>
      </c>
    </row>
    <row r="135">
      <c r="A135" s="6" t="inlineStr">
        <is>
          <t>miner</t>
        </is>
      </c>
      <c r="B135" s="6" t="n">
        <v>2</v>
      </c>
      <c r="C135" s="6" t="n">
        <v>2</v>
      </c>
      <c r="D135" s="8" t="inlineStr">
        <is>
          <t>矿池分成</t>
        </is>
      </c>
      <c r="E135" s="8" t="inlineStr">
        <is>
          <t>Pool Payout</t>
        </is>
      </c>
      <c r="F135" s="8" t="inlineStr">
        <is>
          <t>Partage du pool</t>
        </is>
      </c>
      <c r="G135" s="7" t="n">
        <v>140</v>
      </c>
      <c r="H135" s="8" t="inlineStr">
        <is>
          <t>射程内其他装置效果 +15%</t>
        </is>
      </c>
      <c r="I135" s="8" t="inlineStr">
        <is>
          <t>Other devices in range: effect +15%</t>
        </is>
      </c>
      <c r="J135" s="8" t="inlineStr">
        <is>
          <t>Autres dispositifs à portée : effet +15 %</t>
        </is>
      </c>
      <c r="K135" s="7" t="inlineStr">
        <is>
          <t>auraDmg=1.15</t>
        </is>
      </c>
      <c r="L135" s="9">
        <f>SUMIFS($G$3:$G$143,$A$3:$A$143,A135,$B$3:$B$143,B135,$C$3:$C$143,"&lt;="&amp;C135)</f>
        <v/>
      </c>
    </row>
    <row r="136">
      <c r="A136" s="6" t="inlineStr">
        <is>
          <t>miner</t>
        </is>
      </c>
      <c r="B136" s="6" t="n">
        <v>2</v>
      </c>
      <c r="C136" s="6" t="n">
        <v>3</v>
      </c>
      <c r="D136" s="8" t="inlineStr">
        <is>
          <t>稳定收益</t>
        </is>
      </c>
      <c r="E136" s="8" t="inlineStr">
        <is>
          <t>Steady Income</t>
        </is>
      </c>
      <c r="F136" s="8" t="inlineStr">
        <is>
          <t>Revenu stable</t>
        </is>
      </c>
      <c r="G136" s="7" t="n">
        <v>320</v>
      </c>
      <c r="H136" s="8" t="inlineStr">
        <is>
          <t>出块奖励再 +50%</t>
        </is>
      </c>
      <c r="I136" s="8" t="inlineStr">
        <is>
          <t>Block reward +50% more</t>
        </is>
      </c>
      <c r="J136" s="8" t="inlineStr">
        <is>
          <t>Récompense de bloc encore +50 %</t>
        </is>
      </c>
      <c r="K136" s="7" t="inlineStr">
        <is>
          <t>blockBonus+=0.5</t>
        </is>
      </c>
      <c r="L136" s="9">
        <f>SUMIFS($G$3:$G$143,$A$3:$A$143,A136,$B$3:$B$143,B136,$C$3:$C$143,"&lt;="&amp;C136)</f>
        <v/>
      </c>
    </row>
    <row r="137">
      <c r="A137" s="6" t="inlineStr">
        <is>
          <t>miner</t>
        </is>
      </c>
      <c r="B137" s="6" t="n">
        <v>2</v>
      </c>
      <c r="C137" s="6" t="n">
        <v>4</v>
      </c>
      <c r="D137" s="8" t="inlineStr">
        <is>
          <t>大矿池</t>
        </is>
      </c>
      <c r="E137" s="8" t="inlineStr">
        <is>
          <t>Big Pool</t>
        </is>
      </c>
      <c r="F137" s="8" t="inlineStr">
        <is>
          <t>Gros pool</t>
        </is>
      </c>
      <c r="G137" s="7" t="n">
        <v>700</v>
      </c>
      <c r="H137" s="8" t="inlineStr">
        <is>
          <t>射程内其他装置效果 +30%，射程 +30</t>
        </is>
      </c>
      <c r="I137" s="8" t="inlineStr">
        <is>
          <t>Other devices in range: effect +30%; range +30</t>
        </is>
      </c>
      <c r="J137" s="8" t="inlineStr">
        <is>
          <t>Autres dispositifs à portée : effet +30 % ; portée +30</t>
        </is>
      </c>
      <c r="K137" s="7" t="inlineStr">
        <is>
          <t>auraDmg=1.3; range+=30</t>
        </is>
      </c>
      <c r="L137" s="9">
        <f>SUMIFS($G$3:$G$143,$A$3:$A$143,A137,$B$3:$B$143,B137,$C$3:$C$143,"&lt;="&amp;C137)</f>
        <v/>
      </c>
    </row>
    <row r="138">
      <c r="A138" s="6" t="inlineStr">
        <is>
          <t>miner</t>
        </is>
      </c>
      <c r="B138" s="6" t="n">
        <v>2</v>
      </c>
      <c r="C138" s="6" t="n">
        <v>5</v>
      </c>
      <c r="D138" s="8" t="inlineStr">
        <is>
          <t>算力联盟</t>
        </is>
      </c>
      <c r="E138" s="8" t="inlineStr">
        <is>
          <t>Hash Alliance</t>
        </is>
      </c>
      <c r="F138" s="8" t="inlineStr">
        <is>
          <t>Alliance de puissance</t>
        </is>
      </c>
      <c r="G138" s="7" t="n">
        <v>1500</v>
      </c>
      <c r="H138" s="8" t="inlineStr">
        <is>
          <t>出块奖励再 +100%，射程内装置出手间隔 −15%</t>
        </is>
      </c>
      <c r="I138" s="8" t="inlineStr">
        <is>
          <t>Block reward +100% more; devices in range: interval −15%</t>
        </is>
      </c>
      <c r="J138" s="8" t="inlineStr">
        <is>
          <t>Récompense encore +100 % ; dispositifs à portée : intervalle −15 %</t>
        </is>
      </c>
      <c r="K138" s="7" t="inlineStr">
        <is>
          <t>blockBonus+=1; auraRate=0.85</t>
        </is>
      </c>
      <c r="L138" s="9">
        <f>SUMIFS($G$3:$G$143,$A$3:$A$143,A138,$B$3:$B$143,B138,$C$3:$C$143,"&lt;="&amp;C138)</f>
        <v/>
      </c>
    </row>
    <row r="139">
      <c r="A139" s="6" t="inlineStr">
        <is>
          <t>miner</t>
        </is>
      </c>
      <c r="B139" s="6" t="n">
        <v>3</v>
      </c>
      <c r="C139" s="6" t="n">
        <v>1</v>
      </c>
      <c r="D139" s="8" t="inlineStr">
        <is>
          <t>风扇狂转</t>
        </is>
      </c>
      <c r="E139" s="8" t="inlineStr">
        <is>
          <t>Fans Roaring</t>
        </is>
      </c>
      <c r="F139" s="8" t="inlineStr">
        <is>
          <t>Ventilos à fond</t>
        </is>
      </c>
      <c r="G139" s="7" t="n">
        <v>60</v>
      </c>
      <c r="H139" s="8" t="inlineStr">
        <is>
          <t>吹出热风：射程内跑者每秒受 1 点效果并挂上“热”</t>
        </is>
      </c>
      <c r="I139" s="8" t="inlineStr">
        <is>
          <t>Blows hot air: runners in range take 1 effect per second and get “Heat”</t>
        </is>
      </c>
      <c r="J139" s="8" t="inlineStr">
        <is>
          <t>Souffle de l’air chaud : coureurs à portée subissent 1 effet par seconde et reçoivent « Chaleur »</t>
        </is>
      </c>
      <c r="K139" s="7" t="inlineStr">
        <is>
          <t>heat+=1</t>
        </is>
      </c>
      <c r="L139" s="9">
        <f>SUMIFS($G$3:$G$143,$A$3:$A$143,A139,$B$3:$B$143,B139,$C$3:$C$143,"&lt;="&amp;C139)</f>
        <v/>
      </c>
    </row>
    <row r="140">
      <c r="A140" s="6" t="inlineStr">
        <is>
          <t>miner</t>
        </is>
      </c>
      <c r="B140" s="6" t="n">
        <v>3</v>
      </c>
      <c r="C140" s="6" t="n">
        <v>2</v>
      </c>
      <c r="D140" s="8" t="inlineStr">
        <is>
          <t>机箱漏风</t>
        </is>
      </c>
      <c r="E140" s="8" t="inlineStr">
        <is>
          <t>Leaky Case</t>
        </is>
      </c>
      <c r="F140" s="8" t="inlineStr">
        <is>
          <t>Boîtier qui fuit</t>
        </is>
      </c>
      <c r="G140" s="7" t="n">
        <v>120</v>
      </c>
      <c r="H140" s="8" t="inlineStr">
        <is>
          <t>热风 +2</t>
        </is>
      </c>
      <c r="I140" s="8" t="inlineStr">
        <is>
          <t>Heat +2</t>
        </is>
      </c>
      <c r="J140" s="8" t="inlineStr">
        <is>
          <t>Chaleur +2</t>
        </is>
      </c>
      <c r="K140" s="7" t="inlineStr">
        <is>
          <t>heat+=2</t>
        </is>
      </c>
      <c r="L140" s="9">
        <f>SUMIFS($G$3:$G$143,$A$3:$A$143,A140,$B$3:$B$143,B140,$C$3:$C$143,"&lt;="&amp;C140)</f>
        <v/>
      </c>
    </row>
    <row r="141">
      <c r="A141" s="6" t="inlineStr">
        <is>
          <t>miner</t>
        </is>
      </c>
      <c r="B141" s="6" t="n">
        <v>3</v>
      </c>
      <c r="C141" s="6" t="n">
        <v>3</v>
      </c>
      <c r="D141" s="8" t="inlineStr">
        <is>
          <t>水冷管道</t>
        </is>
      </c>
      <c r="E141" s="8" t="inlineStr">
        <is>
          <t>Water-cooling Loop</t>
        </is>
      </c>
      <c r="F141" s="8" t="inlineStr">
        <is>
          <t>Watercooling</t>
        </is>
      </c>
      <c r="G141" s="7" t="n">
        <v>300</v>
      </c>
      <c r="H141" s="8" t="inlineStr">
        <is>
          <t>射程 +25</t>
        </is>
      </c>
      <c r="I141" s="8" t="inlineStr">
        <is>
          <t>Range +25</t>
        </is>
      </c>
      <c r="J141" s="8" t="inlineStr">
        <is>
          <t>Portée +25</t>
        </is>
      </c>
      <c r="K141" s="7" t="inlineStr">
        <is>
          <t>range+=25</t>
        </is>
      </c>
      <c r="L141" s="9">
        <f>SUMIFS($G$3:$G$143,$A$3:$A$143,A141,$B$3:$B$143,B141,$C$3:$C$143,"&lt;="&amp;C141)</f>
        <v/>
      </c>
    </row>
    <row r="142">
      <c r="A142" s="6" t="inlineStr">
        <is>
          <t>miner</t>
        </is>
      </c>
      <c r="B142" s="6" t="n">
        <v>3</v>
      </c>
      <c r="C142" s="6" t="n">
        <v>4</v>
      </c>
      <c r="D142" s="8" t="inlineStr">
        <is>
          <t>烧机模式</t>
        </is>
      </c>
      <c r="E142" s="8" t="inlineStr">
        <is>
          <t>Burn-in Mode</t>
        </is>
      </c>
      <c r="F142" s="8" t="inlineStr">
        <is>
          <t>Mode surchauffe</t>
        </is>
      </c>
      <c r="G142" s="7" t="n">
        <v>700</v>
      </c>
      <c r="H142" s="8" t="inlineStr">
        <is>
          <t>热风 ×3</t>
        </is>
      </c>
      <c r="I142" s="8" t="inlineStr">
        <is>
          <t>Heat ×3</t>
        </is>
      </c>
      <c r="J142" s="8" t="inlineStr">
        <is>
          <t>Chaleur ×3</t>
        </is>
      </c>
      <c r="K142" s="7" t="inlineStr">
        <is>
          <t>heat*=3</t>
        </is>
      </c>
      <c r="L142" s="9">
        <f>SUMIFS($G$3:$G$143,$A$3:$A$143,A142,$B$3:$B$143,B142,$C$3:$C$143,"&lt;="&amp;C142)</f>
        <v/>
      </c>
    </row>
    <row r="143">
      <c r="A143" s="6" t="inlineStr">
        <is>
          <t>miner</t>
        </is>
      </c>
      <c r="B143" s="6" t="n">
        <v>3</v>
      </c>
      <c r="C143" s="6" t="n">
        <v>5</v>
      </c>
      <c r="D143" s="8" t="inlineStr">
        <is>
          <t>矿场火炉</t>
        </is>
      </c>
      <c r="E143" s="8" t="inlineStr">
        <is>
          <t>Mine Furnace</t>
        </is>
      </c>
      <c r="F143" s="8" t="inlineStr">
        <is>
          <t>Fournaise de mine</t>
        </is>
      </c>
      <c r="G143" s="7" t="n">
        <v>1500</v>
      </c>
      <c r="H143" s="8" t="inlineStr">
        <is>
          <t>热风 +15，射程 +30</t>
        </is>
      </c>
      <c r="I143" s="8" t="inlineStr">
        <is>
          <t>Heat +15; range +30</t>
        </is>
      </c>
      <c r="J143" s="8" t="inlineStr">
        <is>
          <t>Chaleur +15 ; portée +30</t>
        </is>
      </c>
      <c r="K143" s="7" t="inlineStr">
        <is>
          <t>heat+=15; range+=30</t>
        </is>
      </c>
      <c r="L143" s="9">
        <f>SUMIFS($G$3:$G$143,$A$3:$A$143,A143,$B$3:$B$143,B143,$C$3:$C$143,"&lt;="&amp;C143)</f>
        <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11"/>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8" customWidth="1" min="1" max="1"/>
    <col width="14" customWidth="1" min="2" max="2"/>
    <col width="20" customWidth="1" min="3" max="3"/>
    <col width="22" customWidth="1" min="4" max="4"/>
    <col width="10" customWidth="1" min="5" max="5"/>
    <col width="10" customWidth="1" min="6" max="6"/>
    <col width="10" customWidth="1" min="7" max="7"/>
    <col width="10" customWidth="1" min="8" max="8"/>
    <col width="12" customWidth="1" min="9" max="9"/>
  </cols>
  <sheetData>
    <row r="1" ht="30" customHeight="1">
      <c r="A1" s="4" t="inlineStr">
        <is>
          <t>id</t>
        </is>
      </c>
      <c r="B1" s="4" t="inlineStr">
        <is>
          <t>名称（中文）</t>
        </is>
      </c>
      <c r="C1" s="4" t="inlineStr">
        <is>
          <t>名称（English）</t>
        </is>
      </c>
      <c r="D1" s="4" t="inlineStr">
        <is>
          <t>名称（Français）</t>
        </is>
      </c>
      <c r="E1" s="4" t="inlineStr">
        <is>
          <t>体型半径</t>
        </is>
      </c>
      <c r="F1" s="4" t="inlineStr">
        <is>
          <t>移速</t>
        </is>
      </c>
      <c r="G1" s="4" t="inlineStr">
        <is>
          <t>劝退 GST</t>
        </is>
      </c>
      <c r="H1" s="4" t="inlineStr">
        <is>
          <t>计分权重</t>
        </is>
      </c>
      <c r="I1" s="4" t="inlineStr">
        <is>
          <t>漏过扣能量</t>
        </is>
      </c>
    </row>
    <row r="2">
      <c r="A2" s="5" t="inlineStr">
        <is>
          <t>id</t>
        </is>
      </c>
      <c r="B2" s="5" t="inlineStr">
        <is>
          <t>name_zh</t>
        </is>
      </c>
      <c r="C2" s="5" t="inlineStr">
        <is>
          <t>name_en</t>
        </is>
      </c>
      <c r="D2" s="5" t="inlineStr">
        <is>
          <t>name_fr</t>
        </is>
      </c>
      <c r="E2" s="5" t="inlineStr">
        <is>
          <t>radius</t>
        </is>
      </c>
      <c r="F2" s="5" t="inlineStr">
        <is>
          <t>speed</t>
        </is>
      </c>
      <c r="G2" s="5" t="inlineStr">
        <is>
          <t>gold</t>
        </is>
      </c>
      <c r="H2" s="5" t="inlineStr">
        <is>
          <t>value</t>
        </is>
      </c>
      <c r="I2" s="5" t="inlineStr">
        <is>
          <t>leak</t>
        </is>
      </c>
    </row>
    <row r="3">
      <c r="A3" s="6" t="inlineStr">
        <is>
          <t>norm</t>
        </is>
      </c>
      <c r="B3" s="8" t="inlineStr">
        <is>
          <t>慢跑者</t>
        </is>
      </c>
      <c r="C3" s="8" t="inlineStr">
        <is>
          <t>Jogger</t>
        </is>
      </c>
      <c r="D3" s="8" t="inlineStr">
        <is>
          <t>Joggeur</t>
        </is>
      </c>
      <c r="E3" s="7" t="n">
        <v>9</v>
      </c>
      <c r="F3" s="7" t="n">
        <v>55</v>
      </c>
      <c r="G3" s="7" t="n">
        <v>6</v>
      </c>
      <c r="H3" s="7" t="n">
        <v>1</v>
      </c>
      <c r="I3" s="7" t="n">
        <v>1</v>
      </c>
    </row>
    <row r="4">
      <c r="A4" s="6" t="inlineStr">
        <is>
          <t>arm</t>
        </is>
      </c>
      <c r="B4" s="8" t="inlineStr">
        <is>
          <t>耐力跑者</t>
        </is>
      </c>
      <c r="C4" s="8" t="inlineStr">
        <is>
          <t>Endurance runner</t>
        </is>
      </c>
      <c r="D4" s="8" t="inlineStr">
        <is>
          <t>Coureur endurant</t>
        </is>
      </c>
      <c r="E4" s="7" t="n">
        <v>11</v>
      </c>
      <c r="F4" s="7" t="n">
        <v>42</v>
      </c>
      <c r="G4" s="7" t="n">
        <v>12</v>
      </c>
      <c r="H4" s="7" t="n">
        <v>2</v>
      </c>
      <c r="I4" s="7" t="n">
        <v>2</v>
      </c>
    </row>
    <row r="5">
      <c r="A5" s="6" t="inlineStr">
        <is>
          <t>boss</t>
        </is>
      </c>
      <c r="B5" s="8" t="inlineStr">
        <is>
          <t>传奇跑者</t>
        </is>
      </c>
      <c r="C5" s="8" t="inlineStr">
        <is>
          <t>Legendary runner</t>
        </is>
      </c>
      <c r="D5" s="8" t="inlineStr">
        <is>
          <t>Coureur légendaire</t>
        </is>
      </c>
      <c r="E5" s="7" t="n">
        <v>22</v>
      </c>
      <c r="F5" s="7" t="n">
        <v>26</v>
      </c>
      <c r="G5" s="7" t="n">
        <v>80</v>
      </c>
      <c r="H5" s="7" t="n">
        <v>15</v>
      </c>
      <c r="I5" s="7" t="n">
        <v>10</v>
      </c>
    </row>
    <row r="6">
      <c r="A6" s="6" t="inlineStr">
        <is>
          <t>rain</t>
        </is>
      </c>
      <c r="B6" s="8" t="inlineStr">
        <is>
          <t>雨衣跑者</t>
        </is>
      </c>
      <c r="C6" s="8" t="inlineStr">
        <is>
          <t>Raincoat Runner</t>
        </is>
      </c>
      <c r="D6" s="8" t="inlineStr">
        <is>
          <t>Coureur en ciré</t>
        </is>
      </c>
      <c r="E6" s="7" t="n">
        <v>9</v>
      </c>
      <c r="F6" s="7" t="n">
        <v>52</v>
      </c>
      <c r="G6" s="7" t="n">
        <v>8</v>
      </c>
      <c r="H6" s="7" t="n">
        <v>1</v>
      </c>
      <c r="I6" s="7" t="n">
        <v>1</v>
      </c>
    </row>
    <row r="7">
      <c r="A7" s="6" t="inlineStr">
        <is>
          <t>hop</t>
        </is>
      </c>
      <c r="B7" s="8" t="inlineStr">
        <is>
          <t>弹簧鞋跑者</t>
        </is>
      </c>
      <c r="C7" s="8" t="inlineStr">
        <is>
          <t>Spring-Shoe Runner</t>
        </is>
      </c>
      <c r="D7" s="8" t="inlineStr">
        <is>
          <t>Coureur à ressorts</t>
        </is>
      </c>
      <c r="E7" s="7" t="n">
        <v>9</v>
      </c>
      <c r="F7" s="7" t="n">
        <v>62</v>
      </c>
      <c r="G7" s="7" t="n">
        <v>8</v>
      </c>
      <c r="H7" s="7" t="n">
        <v>1</v>
      </c>
      <c r="I7" s="7" t="n">
        <v>1</v>
      </c>
    </row>
    <row r="8">
      <c r="A8" s="6" t="inlineStr">
        <is>
          <t>phones</t>
        </is>
      </c>
      <c r="B8" s="8" t="inlineStr">
        <is>
          <t>降噪耳机跑者</t>
        </is>
      </c>
      <c r="C8" s="8" t="inlineStr">
        <is>
          <t>Headphones Runner</t>
        </is>
      </c>
      <c r="D8" s="8" t="inlineStr">
        <is>
          <t>Coureur au casque</t>
        </is>
      </c>
      <c r="E8" s="7" t="n">
        <v>9</v>
      </c>
      <c r="F8" s="7" t="n">
        <v>55</v>
      </c>
      <c r="G8" s="7" t="n">
        <v>8</v>
      </c>
      <c r="H8" s="7" t="n">
        <v>1</v>
      </c>
      <c r="I8" s="7" t="n">
        <v>1</v>
      </c>
    </row>
    <row r="9">
      <c r="A9" s="6" t="inlineStr">
        <is>
          <t>whale</t>
        </is>
      </c>
      <c r="B9" s="8" t="inlineStr">
        <is>
          <t>巨鲸</t>
        </is>
      </c>
      <c r="C9" s="8" t="inlineStr">
        <is>
          <t>Whale</t>
        </is>
      </c>
      <c r="D9" s="8" t="inlineStr">
        <is>
          <t>Baleine</t>
        </is>
      </c>
      <c r="E9" s="7" t="n">
        <v>15</v>
      </c>
      <c r="F9" s="7" t="n">
        <v>30</v>
      </c>
      <c r="G9" s="7" t="n">
        <v>30</v>
      </c>
      <c r="H9" s="7" t="n">
        <v>4</v>
      </c>
      <c r="I9" s="7" t="n">
        <v>3</v>
      </c>
    </row>
    <row r="11">
      <c r="A11" s="10" t="inlineStr">
        <is>
          <t>※ 体力按波次配置，见「波次」表。雨衣/弹簧鞋/降噪耳机跑者体力 = 慢跑者体力 × hpRain/hpHop/hpPhones，巨鲸 = 耐力跑者体力 × hpWhale（见「全局」）。克制：雨衣跑者不怕洒水器；弹簧鞋跑者跳过香蕉皮（懵时除外）；降噪耳机跑者不怕音响；巨鲸削弱单次效果低于 whaleMin 的攻击。</t>
        </is>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M19"/>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13" customWidth="1" min="3" max="3"/>
    <col width="12" customWidth="1" min="4" max="4"/>
    <col width="13" customWidth="1" min="5" max="5"/>
    <col width="16" customWidth="1" min="6" max="6"/>
    <col width="11" customWidth="1" min="7" max="7"/>
    <col width="10" customWidth="1" min="8" max="8"/>
    <col width="10" customWidth="1" min="9" max="9"/>
    <col width="11" customWidth="1" min="10" max="10"/>
    <col width="13" customWidth="1" min="11" max="11"/>
    <col width="8" customWidth="1" min="12" max="12"/>
    <col width="12" customWidth="1" min="13" max="13"/>
  </cols>
  <sheetData>
    <row r="1" ht="30" customHeight="1">
      <c r="A1" s="4" t="inlineStr">
        <is>
          <t>波次</t>
        </is>
      </c>
      <c r="B1" s="4" t="inlineStr">
        <is>
          <t>慢跑者人数</t>
        </is>
      </c>
      <c r="C1" s="4" t="inlineStr">
        <is>
          <t>耐力跑者人数</t>
        </is>
      </c>
      <c r="D1" s="4" t="inlineStr">
        <is>
          <t>慢跑者体力</t>
        </is>
      </c>
      <c r="E1" s="4" t="inlineStr">
        <is>
          <t>耐力跑者体力</t>
        </is>
      </c>
      <c r="F1" s="4" t="inlineStr">
        <is>
          <t>是否 Boss 波（1/0）</t>
        </is>
      </c>
      <c r="G1" s="4" t="inlineStr">
        <is>
          <t>Boss 体力</t>
        </is>
      </c>
      <c r="H1" s="4" t="inlineStr">
        <is>
          <t>词缀数量</t>
        </is>
      </c>
      <c r="I1" s="4" t="inlineStr">
        <is>
          <t>雨衣跑者</t>
        </is>
      </c>
      <c r="J1" s="4" t="inlineStr">
        <is>
          <t>弹簧鞋跑者</t>
        </is>
      </c>
      <c r="K1" s="4" t="inlineStr">
        <is>
          <t>降噪耳机跑者</t>
        </is>
      </c>
      <c r="L1" s="4" t="inlineStr">
        <is>
          <t>巨鲸</t>
        </is>
      </c>
      <c r="M1" s="4" t="inlineStr">
        <is>
          <t>本波总人数</t>
        </is>
      </c>
    </row>
    <row r="2">
      <c r="A2" s="5" t="inlineStr">
        <is>
          <t>wave</t>
        </is>
      </c>
      <c r="B2" s="5" t="inlineStr">
        <is>
          <t>normals</t>
        </is>
      </c>
      <c r="C2" s="5" t="inlineStr">
        <is>
          <t>armored</t>
        </is>
      </c>
      <c r="D2" s="5" t="inlineStr">
        <is>
          <t>normHp</t>
        </is>
      </c>
      <c r="E2" s="5" t="inlineStr">
        <is>
          <t>armHp</t>
        </is>
      </c>
      <c r="F2" s="5" t="inlineStr">
        <is>
          <t>boss</t>
        </is>
      </c>
      <c r="G2" s="5" t="inlineStr">
        <is>
          <t>bossHp</t>
        </is>
      </c>
      <c r="H2" s="5" t="inlineStr">
        <is>
          <t>affixes</t>
        </is>
      </c>
      <c r="I2" s="5" t="inlineStr">
        <is>
          <t>rain</t>
        </is>
      </c>
      <c r="J2" s="5" t="inlineStr">
        <is>
          <t>hop</t>
        </is>
      </c>
      <c r="K2" s="5" t="inlineStr">
        <is>
          <t>phones</t>
        </is>
      </c>
      <c r="L2" s="5" t="inlineStr">
        <is>
          <t>whale</t>
        </is>
      </c>
      <c r="M2" s="5" t="inlineStr"/>
    </row>
    <row r="3">
      <c r="A3" s="6" t="n">
        <v>1</v>
      </c>
      <c r="B3" s="7" t="n">
        <v>30</v>
      </c>
      <c r="C3" s="7" t="n">
        <v>0</v>
      </c>
      <c r="D3" s="7" t="n">
        <v>3.2</v>
      </c>
      <c r="E3" s="7" t="n">
        <v>7.7</v>
      </c>
      <c r="F3" s="7" t="n">
        <v>0</v>
      </c>
      <c r="G3" s="7" t="n">
        <v>0</v>
      </c>
      <c r="H3" s="7" t="n">
        <v>0</v>
      </c>
      <c r="I3" s="7" t="n">
        <v>0</v>
      </c>
      <c r="J3" s="7" t="n">
        <v>0</v>
      </c>
      <c r="K3" s="7" t="n">
        <v>0</v>
      </c>
      <c r="L3" s="7" t="n">
        <v>0</v>
      </c>
      <c r="M3" s="9">
        <f>B3+C3+F3+SUM(I3:L3)</f>
        <v/>
      </c>
    </row>
    <row r="4">
      <c r="A4" s="6" t="n">
        <v>2</v>
      </c>
      <c r="B4" s="7" t="n">
        <v>36</v>
      </c>
      <c r="C4" s="7" t="n">
        <v>0</v>
      </c>
      <c r="D4" s="7" t="n">
        <v>4.4</v>
      </c>
      <c r="E4" s="7" t="n">
        <v>10.3</v>
      </c>
      <c r="F4" s="7" t="n">
        <v>0</v>
      </c>
      <c r="G4" s="7" t="n">
        <v>0</v>
      </c>
      <c r="H4" s="7" t="n">
        <v>0</v>
      </c>
      <c r="I4" s="7" t="n">
        <v>0</v>
      </c>
      <c r="J4" s="7" t="n">
        <v>0</v>
      </c>
      <c r="K4" s="7" t="n">
        <v>0</v>
      </c>
      <c r="L4" s="7" t="n">
        <v>0</v>
      </c>
      <c r="M4" s="9">
        <f>B4+C4+F4+SUM(I4:L4)</f>
        <v/>
      </c>
    </row>
    <row r="5">
      <c r="A5" s="6" t="n">
        <v>3</v>
      </c>
      <c r="B5" s="7" t="n">
        <v>39</v>
      </c>
      <c r="C5" s="7" t="n">
        <v>6</v>
      </c>
      <c r="D5" s="7" t="n">
        <v>5.8</v>
      </c>
      <c r="E5" s="7" t="n">
        <v>13.3</v>
      </c>
      <c r="F5" s="7" t="n">
        <v>0</v>
      </c>
      <c r="G5" s="7" t="n">
        <v>0</v>
      </c>
      <c r="H5" s="7" t="n">
        <v>0</v>
      </c>
      <c r="I5" s="7" t="n">
        <v>0</v>
      </c>
      <c r="J5" s="7" t="n">
        <v>0</v>
      </c>
      <c r="K5" s="7" t="n">
        <v>0</v>
      </c>
      <c r="L5" s="7" t="n">
        <v>0</v>
      </c>
      <c r="M5" s="9">
        <f>B5+C5+F5+SUM(I5:L5)</f>
        <v/>
      </c>
    </row>
    <row r="6">
      <c r="A6" s="6" t="n">
        <v>4</v>
      </c>
      <c r="B6" s="7" t="n">
        <v>45</v>
      </c>
      <c r="C6" s="7" t="n">
        <v>9</v>
      </c>
      <c r="D6" s="7" t="n">
        <v>7.4</v>
      </c>
      <c r="E6" s="7" t="n">
        <v>16.7</v>
      </c>
      <c r="F6" s="7" t="n">
        <v>0</v>
      </c>
      <c r="G6" s="7" t="n">
        <v>0</v>
      </c>
      <c r="H6" s="7" t="n">
        <v>1</v>
      </c>
      <c r="I6" s="7" t="n">
        <v>4</v>
      </c>
      <c r="J6" s="7" t="n">
        <v>0</v>
      </c>
      <c r="K6" s="7" t="n">
        <v>0</v>
      </c>
      <c r="L6" s="7" t="n">
        <v>0</v>
      </c>
      <c r="M6" s="9">
        <f>B6+C6+F6+SUM(I6:L6)</f>
        <v/>
      </c>
    </row>
    <row r="7">
      <c r="A7" s="6" t="n">
        <v>5</v>
      </c>
      <c r="B7" s="7" t="n">
        <v>51</v>
      </c>
      <c r="C7" s="7" t="n">
        <v>12</v>
      </c>
      <c r="D7" s="7" t="n">
        <v>9.199999999999999</v>
      </c>
      <c r="E7" s="7" t="n">
        <v>20.5</v>
      </c>
      <c r="F7" s="7" t="n">
        <v>1</v>
      </c>
      <c r="G7" s="7" t="n">
        <v>100</v>
      </c>
      <c r="H7" s="7" t="n">
        <v>1</v>
      </c>
      <c r="I7" s="7" t="n">
        <v>5</v>
      </c>
      <c r="J7" s="7" t="n">
        <v>0</v>
      </c>
      <c r="K7" s="7" t="n">
        <v>0</v>
      </c>
      <c r="L7" s="7" t="n">
        <v>0</v>
      </c>
      <c r="M7" s="9">
        <f>B7+C7+F7+SUM(I7:L7)</f>
        <v/>
      </c>
    </row>
    <row r="8">
      <c r="A8" s="6" t="n">
        <v>6</v>
      </c>
      <c r="B8" s="7" t="n">
        <v>57</v>
      </c>
      <c r="C8" s="7" t="n">
        <v>15</v>
      </c>
      <c r="D8" s="7" t="n">
        <v>11.2</v>
      </c>
      <c r="E8" s="7" t="n">
        <v>24.7</v>
      </c>
      <c r="F8" s="7" t="n">
        <v>0</v>
      </c>
      <c r="G8" s="7" t="n">
        <v>0</v>
      </c>
      <c r="H8" s="7" t="n">
        <v>1</v>
      </c>
      <c r="I8" s="7" t="n">
        <v>6</v>
      </c>
      <c r="J8" s="7" t="n">
        <v>5</v>
      </c>
      <c r="K8" s="7" t="n">
        <v>0</v>
      </c>
      <c r="L8" s="7" t="n">
        <v>0</v>
      </c>
      <c r="M8" s="9">
        <f>B8+C8+F8+SUM(I8:L8)</f>
        <v/>
      </c>
    </row>
    <row r="9">
      <c r="A9" s="6" t="n">
        <v>7</v>
      </c>
      <c r="B9" s="7" t="n">
        <v>60</v>
      </c>
      <c r="C9" s="7" t="n">
        <v>18</v>
      </c>
      <c r="D9" s="7" t="n">
        <v>13.4</v>
      </c>
      <c r="E9" s="7" t="n">
        <v>29.3</v>
      </c>
      <c r="F9" s="7" t="n">
        <v>0</v>
      </c>
      <c r="G9" s="7" t="n">
        <v>0</v>
      </c>
      <c r="H9" s="7" t="n">
        <v>1</v>
      </c>
      <c r="I9" s="7" t="n">
        <v>6</v>
      </c>
      <c r="J9" s="7" t="n">
        <v>5</v>
      </c>
      <c r="K9" s="7" t="n">
        <v>0</v>
      </c>
      <c r="L9" s="7" t="n">
        <v>0</v>
      </c>
      <c r="M9" s="9">
        <f>B9+C9+F9+SUM(I9:L9)</f>
        <v/>
      </c>
    </row>
    <row r="10">
      <c r="A10" s="6" t="n">
        <v>8</v>
      </c>
      <c r="B10" s="7" t="n">
        <v>66</v>
      </c>
      <c r="C10" s="7" t="n">
        <v>21</v>
      </c>
      <c r="D10" s="7" t="n">
        <v>15.8</v>
      </c>
      <c r="E10" s="7" t="n">
        <v>34.3</v>
      </c>
      <c r="F10" s="7" t="n">
        <v>0</v>
      </c>
      <c r="G10" s="7" t="n">
        <v>0</v>
      </c>
      <c r="H10" s="7" t="n">
        <v>1</v>
      </c>
      <c r="I10" s="7" t="n">
        <v>7</v>
      </c>
      <c r="J10" s="7" t="n">
        <v>5</v>
      </c>
      <c r="K10" s="7" t="n">
        <v>5</v>
      </c>
      <c r="L10" s="7" t="n">
        <v>0</v>
      </c>
      <c r="M10" s="9">
        <f>B10+C10+F10+SUM(I10:L10)</f>
        <v/>
      </c>
    </row>
    <row r="11">
      <c r="A11" s="6" t="n">
        <v>9</v>
      </c>
      <c r="B11" s="7" t="n">
        <v>72</v>
      </c>
      <c r="C11" s="7" t="n">
        <v>24</v>
      </c>
      <c r="D11" s="7" t="n">
        <v>19.5</v>
      </c>
      <c r="E11" s="7" t="n">
        <v>42.08</v>
      </c>
      <c r="F11" s="7" t="n">
        <v>0</v>
      </c>
      <c r="G11" s="7" t="n">
        <v>0</v>
      </c>
      <c r="H11" s="7" t="n">
        <v>1</v>
      </c>
      <c r="I11" s="7" t="n">
        <v>7</v>
      </c>
      <c r="J11" s="7" t="n">
        <v>6</v>
      </c>
      <c r="K11" s="7" t="n">
        <v>6</v>
      </c>
      <c r="L11" s="7" t="n">
        <v>0</v>
      </c>
      <c r="M11" s="9">
        <f>B11+C11+F11+SUM(I11:L11)</f>
        <v/>
      </c>
    </row>
    <row r="12">
      <c r="A12" s="6" t="n">
        <v>10</v>
      </c>
      <c r="B12" s="7" t="n">
        <v>78</v>
      </c>
      <c r="C12" s="7" t="n">
        <v>27</v>
      </c>
      <c r="D12" s="7" t="n">
        <v>23.74</v>
      </c>
      <c r="E12" s="7" t="n">
        <v>50.96</v>
      </c>
      <c r="F12" s="7" t="n">
        <v>1</v>
      </c>
      <c r="G12" s="7" t="n">
        <v>420</v>
      </c>
      <c r="H12" s="7" t="n">
        <v>2</v>
      </c>
      <c r="I12" s="7" t="n">
        <v>8</v>
      </c>
      <c r="J12" s="7" t="n">
        <v>6</v>
      </c>
      <c r="K12" s="7" t="n">
        <v>6</v>
      </c>
      <c r="L12" s="7" t="n">
        <v>1</v>
      </c>
      <c r="M12" s="9">
        <f>B12+C12+F12+SUM(I12:L12)</f>
        <v/>
      </c>
    </row>
    <row r="13">
      <c r="A13" s="6" t="n">
        <v>11</v>
      </c>
      <c r="B13" s="7" t="n">
        <v>81</v>
      </c>
      <c r="C13" s="7" t="n">
        <v>33</v>
      </c>
      <c r="D13" s="7" t="n">
        <v>28.56</v>
      </c>
      <c r="E13" s="7" t="n">
        <v>61.01</v>
      </c>
      <c r="F13" s="7" t="n">
        <v>0</v>
      </c>
      <c r="G13" s="7" t="n">
        <v>0</v>
      </c>
      <c r="H13" s="7" t="n">
        <v>1</v>
      </c>
      <c r="I13" s="7" t="n">
        <v>8</v>
      </c>
      <c r="J13" s="7" t="n">
        <v>6</v>
      </c>
      <c r="K13" s="7" t="n">
        <v>6</v>
      </c>
      <c r="L13" s="7" t="n">
        <v>1</v>
      </c>
      <c r="M13" s="9">
        <f>B13+C13+F13+SUM(I13:L13)</f>
        <v/>
      </c>
    </row>
    <row r="14">
      <c r="A14" s="6" t="n">
        <v>12</v>
      </c>
      <c r="B14" s="7" t="n">
        <v>87</v>
      </c>
      <c r="C14" s="7" t="n">
        <v>36</v>
      </c>
      <c r="D14" s="7" t="n">
        <v>33.98</v>
      </c>
      <c r="E14" s="7" t="n">
        <v>72.29000000000001</v>
      </c>
      <c r="F14" s="7" t="n">
        <v>0</v>
      </c>
      <c r="G14" s="7" t="n">
        <v>0</v>
      </c>
      <c r="H14" s="7" t="n">
        <v>1</v>
      </c>
      <c r="I14" s="7" t="n">
        <v>9</v>
      </c>
      <c r="J14" s="7" t="n">
        <v>7</v>
      </c>
      <c r="K14" s="7" t="n">
        <v>7</v>
      </c>
      <c r="L14" s="7" t="n">
        <v>2</v>
      </c>
      <c r="M14" s="9">
        <f>B14+C14+F14+SUM(I14:L14)</f>
        <v/>
      </c>
    </row>
    <row r="15">
      <c r="A15" s="6" t="n">
        <v>13</v>
      </c>
      <c r="B15" s="7" t="n">
        <v>93</v>
      </c>
      <c r="C15" s="7" t="n">
        <v>39</v>
      </c>
      <c r="D15" s="7" t="n">
        <v>40.04</v>
      </c>
      <c r="E15" s="7" t="n">
        <v>84.89</v>
      </c>
      <c r="F15" s="7" t="n">
        <v>0</v>
      </c>
      <c r="G15" s="7" t="n">
        <v>0</v>
      </c>
      <c r="H15" s="7" t="n">
        <v>1</v>
      </c>
      <c r="I15" s="7" t="n">
        <v>9</v>
      </c>
      <c r="J15" s="7" t="n">
        <v>7</v>
      </c>
      <c r="K15" s="7" t="n">
        <v>7</v>
      </c>
      <c r="L15" s="7" t="n">
        <v>2</v>
      </c>
      <c r="M15" s="9">
        <f>B15+C15+F15+SUM(I15:L15)</f>
        <v/>
      </c>
    </row>
    <row r="16">
      <c r="A16" s="6" t="n">
        <v>14</v>
      </c>
      <c r="B16" s="7" t="n">
        <v>99</v>
      </c>
      <c r="C16" s="7" t="n">
        <v>42</v>
      </c>
      <c r="D16" s="7" t="n">
        <v>46.78</v>
      </c>
      <c r="E16" s="7" t="n">
        <v>98.87</v>
      </c>
      <c r="F16" s="7" t="n">
        <v>0</v>
      </c>
      <c r="G16" s="7" t="n">
        <v>0</v>
      </c>
      <c r="H16" s="7" t="n">
        <v>1</v>
      </c>
      <c r="I16" s="7" t="n">
        <v>10</v>
      </c>
      <c r="J16" s="7" t="n">
        <v>8</v>
      </c>
      <c r="K16" s="7" t="n">
        <v>8</v>
      </c>
      <c r="L16" s="7" t="n">
        <v>3</v>
      </c>
      <c r="M16" s="9">
        <f>B16+C16+F16+SUM(I16:L16)</f>
        <v/>
      </c>
    </row>
    <row r="17">
      <c r="A17" s="6" t="n">
        <v>15</v>
      </c>
      <c r="B17" s="7" t="n">
        <v>102</v>
      </c>
      <c r="C17" s="7" t="n">
        <v>45</v>
      </c>
      <c r="D17" s="7" t="n">
        <v>54.24</v>
      </c>
      <c r="E17" s="7" t="n">
        <v>114.31</v>
      </c>
      <c r="F17" s="7" t="n">
        <v>1</v>
      </c>
      <c r="G17" s="7" t="n">
        <v>1400</v>
      </c>
      <c r="H17" s="7" t="n">
        <v>2</v>
      </c>
      <c r="I17" s="7" t="n">
        <v>10</v>
      </c>
      <c r="J17" s="7" t="n">
        <v>8</v>
      </c>
      <c r="K17" s="7" t="n">
        <v>8</v>
      </c>
      <c r="L17" s="7" t="n">
        <v>3</v>
      </c>
      <c r="M17" s="9">
        <f>B17+C17+F17+SUM(I17:L17)</f>
        <v/>
      </c>
    </row>
    <row r="19">
      <c r="A19" s="10" t="inlineStr">
        <is>
          <t>※ 行数就是总波数，可以增删行；精英小队的词缀数量见「全局」eliteAffixes。</t>
        </is>
      </c>
    </row>
  </sheetData>
  <dataValidations count="1">
    <dataValidation sqref="F3:F20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N10"/>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2" customWidth="1" min="3" max="3"/>
    <col width="12" customWidth="1" min="4" max="4"/>
    <col width="14" customWidth="1" min="5" max="5"/>
    <col width="16" customWidth="1" min="6" max="6"/>
    <col width="40" customWidth="1" min="7" max="7"/>
    <col width="44" customWidth="1" min="8" max="8"/>
    <col width="48" customWidth="1" min="9" max="9"/>
    <col width="8" customWidth="1" min="10" max="10"/>
    <col width="8" customWidth="1" min="11" max="11"/>
    <col width="8" customWidth="1" min="12" max="12"/>
    <col width="8" customWidth="1" min="13" max="13"/>
    <col width="46" customWidth="1" min="14" max="14"/>
  </cols>
  <sheetData>
    <row r="1" ht="30" customHeight="1">
      <c r="A1" s="4" t="inlineStr">
        <is>
          <t>id</t>
        </is>
      </c>
      <c r="B1" s="4" t="inlineStr">
        <is>
          <t>启用（1/0）</t>
        </is>
      </c>
      <c r="C1" s="4" t="inlineStr">
        <is>
          <t>名字</t>
        </is>
      </c>
      <c r="D1" s="4" t="inlineStr">
        <is>
          <t>称号（中文）</t>
        </is>
      </c>
      <c r="E1" s="4" t="inlineStr">
        <is>
          <t>称号（English）</t>
        </is>
      </c>
      <c r="F1" s="4" t="inlineStr">
        <is>
          <t>称号（Français）</t>
        </is>
      </c>
      <c r="G1" s="4" t="inlineStr">
        <is>
          <t>能力说明（中文）</t>
        </is>
      </c>
      <c r="H1" s="4" t="inlineStr">
        <is>
          <t>能力说明（English）</t>
        </is>
      </c>
      <c r="I1" s="4" t="inlineStr">
        <is>
          <t>能力说明（Français）</t>
        </is>
      </c>
      <c r="J1" s="4" t="inlineStr">
        <is>
          <t>p1</t>
        </is>
      </c>
      <c r="K1" s="4" t="inlineStr">
        <is>
          <t>p2</t>
        </is>
      </c>
      <c r="L1" s="4" t="inlineStr">
        <is>
          <t>p3</t>
        </is>
      </c>
      <c r="M1" s="4" t="inlineStr">
        <is>
          <t>p4</t>
        </is>
      </c>
      <c r="N1" s="4" t="inlineStr">
        <is>
          <t>p1–p4 含义</t>
        </is>
      </c>
    </row>
    <row r="2">
      <c r="A2" s="5" t="inlineStr">
        <is>
          <t>id</t>
        </is>
      </c>
      <c r="B2" s="5" t="inlineStr">
        <is>
          <t>enabled</t>
        </is>
      </c>
      <c r="C2" s="5" t="inlineStr">
        <is>
          <t>name</t>
        </is>
      </c>
      <c r="D2" s="5" t="inlineStr">
        <is>
          <t>title_zh</t>
        </is>
      </c>
      <c r="E2" s="5" t="inlineStr">
        <is>
          <t>title_en</t>
        </is>
      </c>
      <c r="F2" s="5" t="inlineStr">
        <is>
          <t>title_fr</t>
        </is>
      </c>
      <c r="G2" s="5" t="inlineStr">
        <is>
          <t>ability_zh</t>
        </is>
      </c>
      <c r="H2" s="5" t="inlineStr">
        <is>
          <t>ability_en</t>
        </is>
      </c>
      <c r="I2" s="5" t="inlineStr">
        <is>
          <t>ability_fr</t>
        </is>
      </c>
      <c r="J2" s="5" t="inlineStr">
        <is>
          <t>p1</t>
        </is>
      </c>
      <c r="K2" s="5" t="inlineStr">
        <is>
          <t>p2</t>
        </is>
      </c>
      <c r="L2" s="5" t="inlineStr">
        <is>
          <t>p3</t>
        </is>
      </c>
      <c r="M2" s="5" t="inlineStr">
        <is>
          <t>p4</t>
        </is>
      </c>
      <c r="N2" s="5" t="inlineStr"/>
    </row>
    <row r="3">
      <c r="A3" s="6" t="inlineStr">
        <is>
          <t>yawn</t>
        </is>
      </c>
      <c r="B3" s="7" t="n">
        <v>1</v>
      </c>
      <c r="C3" s="8" t="inlineStr">
        <is>
          <t>Nox</t>
        </is>
      </c>
      <c r="D3" s="8" t="inlineStr">
        <is>
          <t>黑猫</t>
        </is>
      </c>
      <c r="E3" s="8" t="inlineStr">
        <is>
          <t>Black Cat</t>
        </is>
      </c>
      <c r="F3" s="8" t="inlineStr">
        <is>
          <t>Chat noir</t>
        </is>
      </c>
      <c r="G3" s="8" t="inlineStr">
        <is>
          <t>九命：第一次退赛会原地复活（40% 体力）</t>
        </is>
      </c>
      <c r="H3" s="8" t="inlineStr">
        <is>
          <t>Nine Lives: revives once on the spot (40% stamina)</t>
        </is>
      </c>
      <c r="I3" s="8" t="inlineStr">
        <is>
          <t>Neuf vies : revient une fois sur place (40 % d’endurance)</t>
        </is>
      </c>
      <c r="J3" s="7" t="n">
        <v>0.4</v>
      </c>
      <c r="K3" s="7" t="n">
        <v>1</v>
      </c>
      <c r="L3" s="7" t="n">
        <v>0</v>
      </c>
      <c r="M3" s="7" t="n">
        <v>0</v>
      </c>
      <c r="N3" s="9" t="inlineStr">
        <is>
          <t>p1 = 复活体力比例；p2 = 复活后无敌秒数</t>
        </is>
      </c>
    </row>
    <row r="4">
      <c r="A4" s="6" t="inlineStr">
        <is>
          <t>gilg</t>
        </is>
      </c>
      <c r="B4" s="7" t="n">
        <v>1</v>
      </c>
      <c r="C4" s="8" t="inlineStr">
        <is>
          <t>Aurum</t>
        </is>
      </c>
      <c r="D4" s="8" t="inlineStr">
        <is>
          <t>金王</t>
        </is>
      </c>
      <c r="E4" s="8" t="inlineStr">
        <is>
          <t>Golden King</t>
        </is>
      </c>
      <c r="F4" s="8" t="inlineStr">
        <is>
          <t>Roi doré</t>
        </is>
      </c>
      <c r="G4" s="8" t="inlineStr">
        <is>
          <t>王之宝库：每 4 秒召唤 2 名金甲跑者</t>
        </is>
      </c>
      <c r="H4" s="8" t="inlineStr">
        <is>
          <t>Royal Treasury: summons 2 golden runners every 4 s</t>
        </is>
      </c>
      <c r="I4" s="8" t="inlineStr">
        <is>
          <t>Trésor royal : invoque 2 coureurs dorés toutes les 4 s</t>
        </is>
      </c>
      <c r="J4" s="7" t="n">
        <v>4</v>
      </c>
      <c r="K4" s="7" t="n">
        <v>2</v>
      </c>
      <c r="L4" s="7" t="n">
        <v>8</v>
      </c>
      <c r="M4" s="7" t="n">
        <v>0.8</v>
      </c>
      <c r="N4" s="9" t="inlineStr">
        <is>
          <t>p1 = 召唤间隔（秒）；p2 = 每次召唤人数；p3 = 最多召唤人数；p4 = 金甲跑者体力倍率</t>
        </is>
      </c>
    </row>
    <row r="5">
      <c r="A5" s="6" t="inlineStr">
        <is>
          <t>king</t>
        </is>
      </c>
      <c r="B5" s="7" t="n">
        <v>1</v>
      </c>
      <c r="C5" s="8" t="inlineStr">
        <is>
          <t>Slimo</t>
        </is>
      </c>
      <c r="D5" s="8" t="inlineStr">
        <is>
          <t>黏液国王</t>
        </is>
      </c>
      <c r="E5" s="8" t="inlineStr">
        <is>
          <t>Slime King</t>
        </is>
      </c>
      <c r="F5" s="8" t="inlineStr">
        <is>
          <t>Roi visqueux</t>
        </is>
      </c>
      <c r="G5" s="8" t="inlineStr">
        <is>
          <t>黏液王冠：身后留下黏液，踩到的跑者加速 30% 并回体力</t>
        </is>
      </c>
      <c r="H5" s="8" t="inlineStr">
        <is>
          <t>Slime Crown: leaves a slime trail; runners on it get +30% speed and recover stamina</t>
        </is>
      </c>
      <c r="I5" s="8" t="inlineStr">
        <is>
          <t>Couronne visqueuse : laisse une traînée ; les coureurs dessus gagnent +30 % de vitesse et récupèrent</t>
        </is>
      </c>
      <c r="J5" s="7" t="n">
        <v>0.3</v>
      </c>
      <c r="K5" s="7" t="n">
        <v>1.3</v>
      </c>
      <c r="L5" s="7" t="n">
        <v>0.04</v>
      </c>
      <c r="M5" s="7" t="n">
        <v>5</v>
      </c>
      <c r="N5" s="9" t="inlineStr">
        <is>
          <t>p1 = 黏液间隔（秒）；p2 = 黏液上速度倍率；p3 = 黏液上每秒回复比例；p4 = 黏液持续（秒）</t>
        </is>
      </c>
    </row>
    <row r="6">
      <c r="A6" s="6" t="inlineStr">
        <is>
          <t>lucas</t>
        </is>
      </c>
      <c r="B6" s="7" t="n">
        <v>1</v>
      </c>
      <c r="C6" s="8" t="inlineStr">
        <is>
          <t>Rocco</t>
        </is>
      </c>
      <c r="D6" s="8" t="inlineStr">
        <is>
          <t>光头</t>
        </is>
      </c>
      <c r="E6" s="8" t="inlineStr">
        <is>
          <t>Bald Dasher</t>
        </is>
      </c>
      <c r="F6" s="8" t="inlineStr">
        <is>
          <t>Crâne rasé</t>
        </is>
      </c>
      <c r="G6" s="8" t="inlineStr">
        <is>
          <t>铁头冲刺：每 5 秒冲刺 1 秒，3 倍速</t>
        </is>
      </c>
      <c r="H6" s="8" t="inlineStr">
        <is>
          <t>Headstrong Dash: every 5 s, sprints at ×3 speed for 1 s</t>
        </is>
      </c>
      <c r="I6" s="8" t="inlineStr">
        <is>
          <t>Charge tête baissée : toutes les 5 s, sprint ×3 pendant 1 s</t>
        </is>
      </c>
      <c r="J6" s="7" t="n">
        <v>5</v>
      </c>
      <c r="K6" s="7" t="n">
        <v>1</v>
      </c>
      <c r="L6" s="7" t="n">
        <v>3</v>
      </c>
      <c r="M6" s="7" t="n">
        <v>0</v>
      </c>
      <c r="N6" s="9" t="inlineStr">
        <is>
          <t>p1 = 冲刺间隔（秒）；p2 = 冲刺时长（秒）；p3 = 冲刺速度倍率</t>
        </is>
      </c>
    </row>
    <row r="7">
      <c r="A7" s="6" t="inlineStr">
        <is>
          <t>shiti</t>
        </is>
      </c>
      <c r="B7" s="7" t="n">
        <v>1</v>
      </c>
      <c r="C7" s="8" t="inlineStr">
        <is>
          <t>Chuckles</t>
        </is>
      </c>
      <c r="D7" s="8" t="inlineStr">
        <is>
          <t>笑声</t>
        </is>
      </c>
      <c r="E7" s="8" t="inlineStr">
        <is>
          <t>Laughter</t>
        </is>
      </c>
      <c r="F7" s="8" t="inlineStr">
        <is>
          <t>Fou rire</t>
        </is>
      </c>
      <c r="G7" s="8" t="inlineStr">
        <is>
          <t>开怀大笑：每 6 秒大笑一次，身边的装置停工 1.5 秒</t>
        </is>
      </c>
      <c r="H7" s="8" t="inlineStr">
        <is>
          <t>Big Laugh: every 6 s, nearby devices stop for 1.5 s</t>
        </is>
      </c>
      <c r="I7" s="8" t="inlineStr">
        <is>
          <t>Fou rire : toutes les 6 s, les dispositifs proches s’arrêtent 1,5 s</t>
        </is>
      </c>
      <c r="J7" s="7" t="n">
        <v>6</v>
      </c>
      <c r="K7" s="7" t="n">
        <v>130</v>
      </c>
      <c r="L7" s="7" t="n">
        <v>1.5</v>
      </c>
      <c r="M7" s="7" t="n">
        <v>0</v>
      </c>
      <c r="N7" s="9" t="inlineStr">
        <is>
          <t>p1 = 大笑间隔（秒）；p2 = 影响半径；p3 = 装置停工（秒）</t>
        </is>
      </c>
    </row>
    <row r="8">
      <c r="A8" s="6" t="inlineStr">
        <is>
          <t>pizza</t>
        </is>
      </c>
      <c r="B8" s="7" t="n">
        <v>1</v>
      </c>
      <c r="C8" s="8" t="inlineStr">
        <is>
          <t>Pizza Rider</t>
        </is>
      </c>
      <c r="D8" s="8" t="inlineStr">
        <is>
          <t>披萨外卖员</t>
        </is>
      </c>
      <c r="E8" s="8" t="inlineStr">
        <is>
          <t>Pizza courier</t>
        </is>
      </c>
      <c r="F8" s="8" t="inlineStr">
        <is>
          <t>Livreur de pizza</t>
        </is>
      </c>
      <c r="G8" s="8" t="inlineStr">
        <is>
          <t>一万枚换两个披萨：体力掉到 2/3 和 1/3 时各扔下一盒披萨，冒出一群披萨跑者</t>
        </is>
      </c>
      <c r="H8" s="8" t="inlineStr">
        <is>
          <t>10,000 coins for two pizzas: at 2/3 and 1/3 stamina he drops a pizza box and a swarm of pizza runners pours out</t>
        </is>
      </c>
      <c r="I8" s="8" t="inlineStr">
        <is>
          <t>10 000 pièces pour deux pizzas : à 2/3 et 1/3 d’endurance, il lâche une boîte et une nuée de coureurs-pizza en sort</t>
        </is>
      </c>
      <c r="J8" s="7" t="n">
        <v>5</v>
      </c>
      <c r="K8" s="7" t="n">
        <v>0.22</v>
      </c>
      <c r="L8" s="7" t="n">
        <v>0</v>
      </c>
      <c r="M8" s="7" t="n">
        <v>0</v>
      </c>
      <c r="N8" s="9" t="inlineStr">
        <is>
          <t>p1 = 每盒披萨冒出几个跑者；p2 = 披萨跑者体力占比</t>
        </is>
      </c>
    </row>
    <row r="9">
      <c r="A9" s="6" t="inlineStr">
        <is>
          <t>overflow</t>
        </is>
      </c>
      <c r="B9" s="7" t="n">
        <v>1</v>
      </c>
      <c r="C9" s="8" t="inlineStr">
        <is>
          <t>Overflow</t>
        </is>
      </c>
      <c r="D9" s="8" t="inlineStr">
        <is>
          <t>溢出怪</t>
        </is>
      </c>
      <c r="E9" s="8" t="inlineStr">
        <is>
          <t>The Overflow</t>
        </is>
      </c>
      <c r="F9" s="8" t="inlineStr">
        <is>
          <t>Le Débordement</t>
        </is>
      </c>
      <c r="G9" s="8" t="inlineStr">
        <is>
          <t>整数溢出：第一次倒下时分裂成两个，各带 60% 体力；几秒后“软分叉”修复，两个都掉一半体力</t>
        </is>
      </c>
      <c r="H9" s="8" t="inlineStr">
        <is>
          <t>Integer overflow: the first time it falls it splits into two, each with 60% stamina; a few seconds later a “soft fork” patch halves both</t>
        </is>
      </c>
      <c r="I9" s="8" t="inlineStr">
        <is>
          <t>Dépassement d’entier : la première fois qu’il tombe, il se divise en deux, chacun à 60 % d’endurance ; quelques secondes plus tard, un « soft fork » coupe leur endurance de moitié</t>
        </is>
      </c>
      <c r="J9" s="7" t="n">
        <v>4</v>
      </c>
      <c r="K9" s="7" t="n">
        <v>0.5</v>
      </c>
      <c r="L9" s="7" t="n">
        <v>0</v>
      </c>
      <c r="M9" s="7" t="n">
        <v>0</v>
      </c>
      <c r="N9" s="9" t="inlineStr">
        <is>
          <t>p1 = 软分叉延迟（秒）；p2 = 软分叉扣除体力比例</t>
        </is>
      </c>
    </row>
    <row r="10">
      <c r="A10" s="6" t="inlineStr">
        <is>
          <t>jerry</t>
        </is>
      </c>
      <c r="B10" s="7" t="n">
        <v>1</v>
      </c>
      <c r="C10" s="8" t="inlineStr">
        <is>
          <t>Datto</t>
        </is>
      </c>
      <c r="D10" s="8" t="inlineStr">
        <is>
          <t>数据控</t>
        </is>
      </c>
      <c r="E10" s="8" t="inlineStr">
        <is>
          <t>Data Nerd</t>
        </is>
      </c>
      <c r="F10" s="8" t="inlineStr">
        <is>
          <t>Fan de données</t>
        </is>
      </c>
      <c r="G10" s="8" t="inlineStr">
        <is>
          <t>数据分析：每 3 秒对受到最多的装置类型产生 65% 抗性</t>
        </is>
      </c>
      <c r="H10" s="8" t="inlineStr">
        <is>
          <t>Data Analysis: every 3 s gains 65% resistance to the device hitting him most</t>
        </is>
      </c>
      <c r="I10" s="8" t="inlineStr">
        <is>
          <t>Analyse de données : toutes les 3 s, résiste à 65 % au dispositif qui le touche le plus</t>
        </is>
      </c>
      <c r="J10" s="7" t="n">
        <v>3</v>
      </c>
      <c r="K10" s="7" t="n">
        <v>0.65</v>
      </c>
      <c r="L10" s="7" t="n">
        <v>0</v>
      </c>
      <c r="M10" s="7" t="n">
        <v>0</v>
      </c>
      <c r="N10" s="9" t="inlineStr">
        <is>
          <t>p1 = 统计间隔（秒）；p2 = 抗性比例</t>
        </is>
      </c>
    </row>
  </sheetData>
  <dataValidations count="1">
    <dataValidation sqref="B3:B2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8"/>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6" customWidth="1" min="3" max="3"/>
    <col width="18" customWidth="1" min="4" max="4"/>
    <col width="26" customWidth="1" min="5" max="5"/>
    <col width="36" customWidth="1" min="6" max="6"/>
    <col width="36" customWidth="1" min="7" max="7"/>
  </cols>
  <sheetData>
    <row r="1" ht="30" customHeight="1">
      <c r="A1" s="4" t="inlineStr">
        <is>
          <t>id</t>
        </is>
      </c>
      <c r="B1" s="4" t="inlineStr">
        <is>
          <t>名称（中文）</t>
        </is>
      </c>
      <c r="C1" s="4" t="inlineStr">
        <is>
          <t>名称（English）</t>
        </is>
      </c>
      <c r="D1" s="4" t="inlineStr">
        <is>
          <t>名称（Français）</t>
        </is>
      </c>
      <c r="E1" s="4" t="inlineStr">
        <is>
          <t>说明（中文）</t>
        </is>
      </c>
      <c r="F1" s="4" t="inlineStr">
        <is>
          <t>说明（English）</t>
        </is>
      </c>
      <c r="G1" s="4" t="inlineStr">
        <is>
          <t>说明（Français）</t>
        </is>
      </c>
    </row>
    <row r="2">
      <c r="A2" s="5" t="inlineStr">
        <is>
          <t>id</t>
        </is>
      </c>
      <c r="B2" s="5" t="inlineStr">
        <is>
          <t>name_zh</t>
        </is>
      </c>
      <c r="C2" s="5" t="inlineStr">
        <is>
          <t>name_en</t>
        </is>
      </c>
      <c r="D2" s="5" t="inlineStr">
        <is>
          <t>name_fr</t>
        </is>
      </c>
      <c r="E2" s="5" t="inlineStr">
        <is>
          <t>desc_zh</t>
        </is>
      </c>
      <c r="F2" s="5" t="inlineStr">
        <is>
          <t>desc_en</t>
        </is>
      </c>
      <c r="G2" s="5" t="inlineStr">
        <is>
          <t>desc_fr</t>
        </is>
      </c>
    </row>
    <row r="3">
      <c r="A3" s="6" t="inlineStr">
        <is>
          <t>swift</t>
        </is>
      </c>
      <c r="B3" s="8" t="inlineStr">
        <is>
          <t>冲刺</t>
        </is>
      </c>
      <c r="C3" s="8" t="inlineStr">
        <is>
          <t>Sprint</t>
        </is>
      </c>
      <c r="D3" s="8" t="inlineStr">
        <is>
          <t>Sprint</t>
        </is>
      </c>
      <c r="E3" s="8" t="inlineStr">
        <is>
          <t>移速 +40%</t>
        </is>
      </c>
      <c r="F3" s="8" t="inlineStr">
        <is>
          <t>Speed +40%</t>
        </is>
      </c>
      <c r="G3" s="8" t="inlineStr">
        <is>
          <t>Vitesse +40 %</t>
        </is>
      </c>
    </row>
    <row r="4">
      <c r="A4" s="6" t="inlineStr">
        <is>
          <t>regen</t>
        </is>
      </c>
      <c r="B4" s="8" t="inlineStr">
        <is>
          <t>补给</t>
        </is>
      </c>
      <c r="C4" s="8" t="inlineStr">
        <is>
          <t>Refuel</t>
        </is>
      </c>
      <c r="D4" s="8" t="inlineStr">
        <is>
          <t>Ravitaillement</t>
        </is>
      </c>
      <c r="E4" s="8" t="inlineStr">
        <is>
          <t>1 秒没被干扰就回体力</t>
        </is>
      </c>
      <c r="F4" s="8" t="inlineStr">
        <is>
          <t>Recovers stamina after 1 s undisturbed</t>
        </is>
      </c>
      <c r="G4" s="8" t="inlineStr">
        <is>
          <t>Récupère de l’endurance après 1 s sans gêne</t>
        </is>
      </c>
    </row>
    <row r="5">
      <c r="A5" s="6" t="inlineStr">
        <is>
          <t>shield</t>
        </is>
      </c>
      <c r="B5" s="8" t="inlineStr">
        <is>
          <t>能量盾</t>
        </is>
      </c>
      <c r="C5" s="8" t="inlineStr">
        <is>
          <t>Energy Shield</t>
        </is>
      </c>
      <c r="D5" s="8" t="inlineStr">
        <is>
          <t>Bouclier d’énergie</t>
        </is>
      </c>
      <c r="E5" s="8" t="inlineStr">
        <is>
          <t>额外 35% 能量护盾</t>
        </is>
      </c>
      <c r="F5" s="8" t="inlineStr">
        <is>
          <t>Extra 35% energy shield</t>
        </is>
      </c>
      <c r="G5" s="8" t="inlineStr">
        <is>
          <t>Bouclier d’énergie +35 %</t>
        </is>
      </c>
    </row>
    <row r="6">
      <c r="A6" s="6" t="inlineStr">
        <is>
          <t>split</t>
        </is>
      </c>
      <c r="B6" s="8" t="inlineStr">
        <is>
          <t>跑团</t>
        </is>
      </c>
      <c r="C6" s="8" t="inlineStr">
        <is>
          <t>Running Club</t>
        </is>
      </c>
      <c r="D6" s="8" t="inlineStr">
        <is>
          <t>Club de course</t>
        </is>
      </c>
      <c r="E6" s="8" t="inlineStr">
        <is>
          <t>退赛时 2 名跟跑者接力</t>
        </is>
      </c>
      <c r="F6" s="8" t="inlineStr">
        <is>
          <t>2 pacers take over when one quits</t>
        </is>
      </c>
      <c r="G6" s="8" t="inlineStr">
        <is>
          <t>2 meneurs prennent le relais à l’abandon</t>
        </is>
      </c>
    </row>
    <row r="8">
      <c r="A8" s="10" t="inlineStr">
        <is>
          <t>※ 词缀数值（冲刺倍率、补给回复、能量盾比例、跟跑者体力）在「全局」表。</t>
        </is>
      </c>
    </row>
  </sheetData>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N35"/>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7" customWidth="1" min="3" max="3"/>
    <col width="12" customWidth="1" min="4" max="4"/>
    <col width="11" customWidth="1" min="5" max="5"/>
    <col width="14" customWidth="1" min="6" max="6"/>
    <col width="18" customWidth="1" min="7" max="7"/>
    <col width="20" customWidth="1" min="8" max="8"/>
    <col width="34" customWidth="1" min="9" max="9"/>
    <col width="38" customWidth="1" min="10" max="10"/>
    <col width="40" customWidth="1" min="11" max="11"/>
    <col width="9" customWidth="1" min="12" max="12"/>
    <col width="9" customWidth="1" min="13" max="13"/>
    <col width="30" customWidth="1" min="14" max="14"/>
  </cols>
  <sheetData>
    <row r="1" ht="30" customHeight="1">
      <c r="A1" s="4" t="inlineStr">
        <is>
          <t>id</t>
        </is>
      </c>
      <c r="B1" s="4" t="inlineStr">
        <is>
          <t>启用（1/0）</t>
        </is>
      </c>
      <c r="C1" s="4" t="inlineStr">
        <is>
          <t>类别</t>
        </is>
      </c>
      <c r="D1" s="4" t="inlineStr">
        <is>
          <t>稀有度（C/R/L）</t>
        </is>
      </c>
      <c r="E1" s="4" t="inlineStr">
        <is>
          <t>可重复（1/0）</t>
        </is>
      </c>
      <c r="F1" s="4" t="inlineStr">
        <is>
          <t>名称（中文）</t>
        </is>
      </c>
      <c r="G1" s="4" t="inlineStr">
        <is>
          <t>名称（English）</t>
        </is>
      </c>
      <c r="H1" s="4" t="inlineStr">
        <is>
          <t>名称（Français）</t>
        </is>
      </c>
      <c r="I1" s="4" t="inlineStr">
        <is>
          <t>说明（中文）</t>
        </is>
      </c>
      <c r="J1" s="4" t="inlineStr">
        <is>
          <t>说明（English）</t>
        </is>
      </c>
      <c r="K1" s="4" t="inlineStr">
        <is>
          <t>说明（Français）</t>
        </is>
      </c>
      <c r="L1" s="4" t="inlineStr">
        <is>
          <t>数值 v1</t>
        </is>
      </c>
      <c r="M1" s="4" t="inlineStr">
        <is>
          <t>数值 v2</t>
        </is>
      </c>
      <c r="N1" s="4" t="inlineStr">
        <is>
          <t>v1 / v2 含义</t>
        </is>
      </c>
    </row>
    <row r="2">
      <c r="A2" s="5" t="inlineStr">
        <is>
          <t>id</t>
        </is>
      </c>
      <c r="B2" s="5" t="inlineStr">
        <is>
          <t>enabled</t>
        </is>
      </c>
      <c r="C2" s="5" t="inlineStr">
        <is>
          <t>tag</t>
        </is>
      </c>
      <c r="D2" s="5" t="inlineStr">
        <is>
          <t>rar</t>
        </is>
      </c>
      <c r="E2" s="5" t="inlineStr">
        <is>
          <t>stack</t>
        </is>
      </c>
      <c r="F2" s="5" t="inlineStr">
        <is>
          <t>name_zh</t>
        </is>
      </c>
      <c r="G2" s="5" t="inlineStr">
        <is>
          <t>name_en</t>
        </is>
      </c>
      <c r="H2" s="5" t="inlineStr">
        <is>
          <t>name_fr</t>
        </is>
      </c>
      <c r="I2" s="5" t="inlineStr">
        <is>
          <t>desc_zh</t>
        </is>
      </c>
      <c r="J2" s="5" t="inlineStr">
        <is>
          <t>desc_en</t>
        </is>
      </c>
      <c r="K2" s="5" t="inlineStr">
        <is>
          <t>desc_fr</t>
        </is>
      </c>
      <c r="L2" s="5" t="inlineStr">
        <is>
          <t>v1</t>
        </is>
      </c>
      <c r="M2" s="5" t="inlineStr">
        <is>
          <t>v2</t>
        </is>
      </c>
      <c r="N2" s="5" t="inlineStr"/>
    </row>
    <row r="3">
      <c r="A3" s="6" t="inlineStr">
        <is>
          <t>u_bomb</t>
        </is>
      </c>
      <c r="B3" s="7" t="n">
        <v>1</v>
      </c>
      <c r="C3" s="6" t="inlineStr">
        <is>
          <t>装置</t>
        </is>
      </c>
      <c r="D3" s="7" t="inlineStr">
        <is>
          <t>C</t>
        </is>
      </c>
      <c r="E3" s="7" t="n">
        <v>0</v>
      </c>
      <c r="F3" s="8" t="inlineStr">
        <is>
          <t>香蕉皮投手</t>
        </is>
      </c>
      <c r="G3" s="8" t="inlineStr">
        <is>
          <t>Banana Peeler</t>
        </is>
      </c>
      <c r="H3" s="8" t="inlineStr">
        <is>
          <t>Lance-peaux</t>
        </is>
      </c>
      <c r="I3" s="8" t="inlineStr">
        <is>
          <t>解锁香蕉皮投手：往跑道扔香蕉皮陷阱，踩中的几个人一起滑倒</t>
        </is>
      </c>
      <c r="J3" s="8" t="inlineStr">
        <is>
          <t>Unlock the Banana Peeler: peel traps on the track trip several runners at once</t>
        </is>
      </c>
      <c r="K3" s="8" t="inlineStr">
        <is>
          <t>Débloque le Lance-peaux : des pièges sur la piste font tomber plusieurs coureurs</t>
        </is>
      </c>
      <c r="L3" s="7" t="n">
        <v>0</v>
      </c>
      <c r="M3" s="7" t="n">
        <v>0</v>
      </c>
      <c r="N3" s="9" t="inlineStr"/>
    </row>
    <row r="4">
      <c r="A4" s="6" t="inlineStr">
        <is>
          <t>u_frost</t>
        </is>
      </c>
      <c r="B4" s="7" t="n">
        <v>1</v>
      </c>
      <c r="C4" s="6" t="inlineStr">
        <is>
          <t>装置</t>
        </is>
      </c>
      <c r="D4" s="7" t="inlineStr">
        <is>
          <t>C</t>
        </is>
      </c>
      <c r="E4" s="7" t="n">
        <v>0</v>
      </c>
      <c r="F4" s="8" t="inlineStr">
        <is>
          <t>洒水器</t>
        </is>
      </c>
      <c r="G4" s="8" t="inlineStr">
        <is>
          <t>Sprinkler</t>
        </is>
      </c>
      <c r="H4" s="8" t="inlineStr">
        <is>
          <t>Arroseur</t>
        </is>
      </c>
      <c r="I4" s="8" t="inlineStr">
        <is>
          <t>解锁洒水器：持续喷水，范围减速</t>
        </is>
      </c>
      <c r="J4" s="8" t="inlineStr">
        <is>
          <t>Unlock the Sprinkler: keeps spraying, slows an area</t>
        </is>
      </c>
      <c r="K4" s="8" t="inlineStr">
        <is>
          <t>Débloque l’Arroseur : arrose en continu et ralentit une zone</t>
        </is>
      </c>
      <c r="L4" s="7" t="n">
        <v>0</v>
      </c>
      <c r="M4" s="7" t="n">
        <v>0</v>
      </c>
      <c r="N4" s="9" t="inlineStr"/>
    </row>
    <row r="5">
      <c r="A5" s="6" t="inlineStr">
        <is>
          <t>u_sniper</t>
        </is>
      </c>
      <c r="B5" s="7" t="n">
        <v>1</v>
      </c>
      <c r="C5" s="6" t="inlineStr">
        <is>
          <t>装置</t>
        </is>
      </c>
      <c r="D5" s="7" t="inlineStr">
        <is>
          <t>R</t>
        </is>
      </c>
      <c r="E5" s="7" t="n">
        <v>0</v>
      </c>
      <c r="F5" s="8" t="inlineStr">
        <is>
          <t>鞋盒无人机</t>
        </is>
      </c>
      <c r="G5" s="8" t="inlineStr">
        <is>
          <t>Shoebox Drone</t>
        </is>
      </c>
      <c r="H5" s="8" t="inlineStr">
        <is>
          <t>Drone à boîtes</t>
        </is>
      </c>
      <c r="I5" s="8" t="inlineStr">
        <is>
          <t>解锁鞋盒无人机：指定投递区，全图空投鞋盒</t>
        </is>
      </c>
      <c r="J5" s="8" t="inlineStr">
        <is>
          <t>Unlock the Shoebox Drone: pick a drop zone anywhere on the map</t>
        </is>
      </c>
      <c r="K5" s="8" t="inlineStr">
        <is>
          <t>Débloque le Drone à boîtes : choisis une zone de largage n’importe où</t>
        </is>
      </c>
      <c r="L5" s="7" t="n">
        <v>0</v>
      </c>
      <c r="M5" s="7" t="n">
        <v>0</v>
      </c>
      <c r="N5" s="9" t="inlineStr"/>
    </row>
    <row r="6">
      <c r="A6" s="6" t="inlineStr">
        <is>
          <t>u_tesla</t>
        </is>
      </c>
      <c r="B6" s="7" t="n">
        <v>1</v>
      </c>
      <c r="C6" s="6" t="inlineStr">
        <is>
          <t>装置</t>
        </is>
      </c>
      <c r="D6" s="7" t="inlineStr">
        <is>
          <t>R</t>
        </is>
      </c>
      <c r="E6" s="7" t="n">
        <v>0</v>
      </c>
      <c r="F6" s="8" t="inlineStr">
        <is>
          <t>广场舞音响</t>
        </is>
      </c>
      <c r="G6" s="8" t="inlineStr">
        <is>
          <t>Dance Speaker</t>
        </is>
      </c>
      <c r="H6" s="8" t="inlineStr">
        <is>
          <t>Enceinte de danse</t>
        </is>
      </c>
      <c r="I6" s="8" t="inlineStr">
        <is>
          <t>解锁广场舞音响：洗脑神曲在跑者之间传播</t>
        </is>
      </c>
      <c r="J6" s="8" t="inlineStr">
        <is>
          <t>Unlock Dance Speaker: an earworm hops between runners</t>
        </is>
      </c>
      <c r="K6" s="8" t="inlineStr">
        <is>
          <t>Débloque l’Enceinte de danse : un tube passe de coureur en coureur</t>
        </is>
      </c>
      <c r="L6" s="7" t="n">
        <v>0</v>
      </c>
      <c r="M6" s="7" t="n">
        <v>0</v>
      </c>
      <c r="N6" s="9" t="inlineStr"/>
    </row>
    <row r="7">
      <c r="A7" s="6" t="inlineStr">
        <is>
          <t>u_miner</t>
        </is>
      </c>
      <c r="B7" s="7" t="n">
        <v>1</v>
      </c>
      <c r="C7" s="6" t="inlineStr">
        <is>
          <t>装置</t>
        </is>
      </c>
      <c r="D7" s="7" t="inlineStr">
        <is>
          <t>R</t>
        </is>
      </c>
      <c r="E7" s="7" t="n">
        <v>0</v>
      </c>
      <c r="F7" s="8" t="inlineStr">
        <is>
          <t>矿机</t>
        </is>
      </c>
      <c r="G7" s="8" t="inlineStr">
        <is>
          <t>Miner</t>
        </is>
      </c>
      <c r="H7" s="8" t="inlineStr">
        <is>
          <t>Mineur</t>
        </is>
      </c>
      <c r="I7" s="8" t="inlineStr">
        <is>
          <t>解锁矿机：挖区块得聪，并触发区块奖励三选一</t>
        </is>
      </c>
      <c r="J7" s="8" t="inlineStr">
        <is>
          <t>Unlock the Miner: mine blocks for sats and a block-reward pick</t>
        </is>
      </c>
      <c r="K7" s="8" t="inlineStr">
        <is>
          <t>Débloque le Mineur : mine des blocs pour des sats et un choix de récompense</t>
        </is>
      </c>
      <c r="L7" s="7" t="n">
        <v>0</v>
      </c>
      <c r="M7" s="7" t="n">
        <v>0</v>
      </c>
      <c r="N7" s="9" t="inlineStr"/>
    </row>
    <row r="8">
      <c r="A8" s="6" t="inlineStr">
        <is>
          <t>u_lure</t>
        </is>
      </c>
      <c r="B8" s="7" t="n">
        <v>1</v>
      </c>
      <c r="C8" s="6" t="inlineStr">
        <is>
          <t>装置</t>
        </is>
      </c>
      <c r="D8" s="7" t="inlineStr">
        <is>
          <t>R</t>
        </is>
      </c>
      <c r="E8" s="7" t="n">
        <v>0</v>
      </c>
      <c r="F8" s="8" t="inlineStr">
        <is>
          <t>休闲诱惑站</t>
        </is>
      </c>
      <c r="G8" s="8" t="inlineStr">
        <is>
          <t>Chill Spot</t>
        </is>
      </c>
      <c r="H8" s="8" t="inlineStr">
        <is>
          <t>Coin détente</t>
        </is>
      </c>
      <c r="I8" s="8" t="inlineStr">
        <is>
          <t>解锁休闲诱惑站：美食、沙发和限量球鞋让跑者停下来</t>
        </is>
      </c>
      <c r="J8" s="8" t="inlineStr">
        <is>
          <t>Unlock the Chill Spot: food, sofas and limited sneakers make runners stop</t>
        </is>
      </c>
      <c r="K8" s="8" t="inlineStr">
        <is>
          <t>Débloque le Coin détente : bouffe, canapés et baskets limitées arrêtent les coureurs</t>
        </is>
      </c>
      <c r="L8" s="7" t="n">
        <v>0</v>
      </c>
      <c r="M8" s="7" t="n">
        <v>0</v>
      </c>
      <c r="N8" s="9" t="inlineStr"/>
    </row>
    <row r="9">
      <c r="A9" s="6" t="inlineStr">
        <is>
          <t>freeup</t>
        </is>
      </c>
      <c r="B9" s="7" t="n">
        <v>1</v>
      </c>
      <c r="C9" s="6" t="inlineStr">
        <is>
          <t>道具</t>
        </is>
      </c>
      <c r="D9" s="7" t="inlineStr">
        <is>
          <t>C</t>
        </is>
      </c>
      <c r="E9" s="7" t="n">
        <v>1</v>
      </c>
      <c r="F9" s="8" t="inlineStr">
        <is>
          <t>鞋匠</t>
        </is>
      </c>
      <c r="G9" s="8" t="inlineStr">
        <is>
          <t>Cobbler</t>
        </is>
      </c>
      <c r="H9" s="8" t="inlineStr">
        <is>
          <t>Cordonnier</t>
        </is>
      </c>
      <c r="I9" s="8" t="inlineStr">
        <is>
          <t>场上一个装置沿主路线免费升 1 级（没有装置时改为 +100 GST）</t>
        </is>
      </c>
      <c r="J9" s="8" t="inlineStr">
        <is>
          <t>One device gets a free tier on its main path (+100 GST if you have none)</t>
        </is>
      </c>
      <c r="K9" s="8" t="inlineStr">
        <is>
          <t>Un dispositif gagne un niveau gratuit sur sa voie principale (+100 GST si aucun)</t>
        </is>
      </c>
      <c r="L9" s="7" t="n">
        <v>0</v>
      </c>
      <c r="M9" s="7" t="n">
        <v>0</v>
      </c>
      <c r="N9" s="9" t="inlineStr"/>
    </row>
    <row r="10">
      <c r="A10" s="6" t="inlineStr">
        <is>
          <t>coupon</t>
        </is>
      </c>
      <c r="B10" s="7" t="n">
        <v>1</v>
      </c>
      <c r="C10" s="6" t="inlineStr">
        <is>
          <t>道具</t>
        </is>
      </c>
      <c r="D10" s="7" t="inlineStr">
        <is>
          <t>C</t>
        </is>
      </c>
      <c r="E10" s="7" t="n">
        <v>1</v>
      </c>
      <c r="F10" s="8" t="inlineStr">
        <is>
          <t>升级卷轴</t>
        </is>
      </c>
      <c r="G10" s="8" t="inlineStr">
        <is>
          <t>Level-up Scroll</t>
        </is>
      </c>
      <c r="H10" s="8" t="inlineStr">
        <is>
          <t>Parchemin d’amélioration</t>
        </is>
      </c>
      <c r="I10" s="8" t="inlineStr">
        <is>
          <t>接下来 3 次路线升级半价</t>
        </is>
      </c>
      <c r="J10" s="8" t="inlineStr">
        <is>
          <t>Next 3 path upgrades are half price</t>
        </is>
      </c>
      <c r="K10" s="8" t="inlineStr">
        <is>
          <t>Les 3 prochaines améliorations à moitié prix</t>
        </is>
      </c>
      <c r="L10" s="7" t="n">
        <v>3</v>
      </c>
      <c r="M10" s="7" t="n">
        <v>0</v>
      </c>
      <c r="N10" s="9" t="inlineStr">
        <is>
          <t>v1 = 半价次数</t>
        </is>
      </c>
    </row>
    <row r="11">
      <c r="A11" s="6" t="inlineStr">
        <is>
          <t>m_dart</t>
        </is>
      </c>
      <c r="B11" s="7" t="n">
        <v>1</v>
      </c>
      <c r="C11" s="6" t="inlineStr">
        <is>
          <t>徽章</t>
        </is>
      </c>
      <c r="D11" s="7" t="inlineStr">
        <is>
          <t>R</t>
        </is>
      </c>
      <c r="E11" s="7" t="n">
        <v>0</v>
      </c>
      <c r="F11" s="8" t="inlineStr">
        <is>
          <t>（自动）</t>
        </is>
      </c>
      <c r="G11" s="8" t="inlineStr">
        <is>
          <t>（自动）</t>
        </is>
      </c>
      <c r="H11" s="8" t="inlineStr">
        <is>
          <t>（自动）</t>
        </is>
      </c>
      <c r="I11" s="8" t="inlineStr">
        <is>
          <t>（自动）</t>
        </is>
      </c>
      <c r="J11" s="8" t="inlineStr">
        <is>
          <t>（自动）</t>
        </is>
      </c>
      <c r="K11" s="8" t="inlineStr">
        <is>
          <t>（自动）</t>
        </is>
      </c>
      <c r="L11" s="7" t="n">
        <v>0</v>
      </c>
      <c r="M11" s="7" t="n">
        <v>0</v>
      </c>
      <c r="N11" s="9" t="inlineStr">
        <is>
          <t>名称和说明自动生成</t>
        </is>
      </c>
    </row>
    <row r="12">
      <c r="A12" s="6" t="inlineStr">
        <is>
          <t>m_bomb</t>
        </is>
      </c>
      <c r="B12" s="7" t="n">
        <v>1</v>
      </c>
      <c r="C12" s="6" t="inlineStr">
        <is>
          <t>徽章</t>
        </is>
      </c>
      <c r="D12" s="7" t="inlineStr">
        <is>
          <t>R</t>
        </is>
      </c>
      <c r="E12" s="7" t="n">
        <v>0</v>
      </c>
      <c r="F12" s="8" t="inlineStr">
        <is>
          <t>（自动）</t>
        </is>
      </c>
      <c r="G12" s="8" t="inlineStr">
        <is>
          <t>（自动）</t>
        </is>
      </c>
      <c r="H12" s="8" t="inlineStr">
        <is>
          <t>（自动）</t>
        </is>
      </c>
      <c r="I12" s="8" t="inlineStr">
        <is>
          <t>（自动）</t>
        </is>
      </c>
      <c r="J12" s="8" t="inlineStr">
        <is>
          <t>（自动）</t>
        </is>
      </c>
      <c r="K12" s="8" t="inlineStr">
        <is>
          <t>（自动）</t>
        </is>
      </c>
      <c r="L12" s="7" t="n">
        <v>0</v>
      </c>
      <c r="M12" s="7" t="n">
        <v>0</v>
      </c>
      <c r="N12" s="9" t="inlineStr">
        <is>
          <t>名称和说明自动生成</t>
        </is>
      </c>
    </row>
    <row r="13">
      <c r="A13" s="6" t="inlineStr">
        <is>
          <t>m_frost</t>
        </is>
      </c>
      <c r="B13" s="7" t="n">
        <v>1</v>
      </c>
      <c r="C13" s="6" t="inlineStr">
        <is>
          <t>徽章</t>
        </is>
      </c>
      <c r="D13" s="7" t="inlineStr">
        <is>
          <t>R</t>
        </is>
      </c>
      <c r="E13" s="7" t="n">
        <v>0</v>
      </c>
      <c r="F13" s="8" t="inlineStr">
        <is>
          <t>（自动）</t>
        </is>
      </c>
      <c r="G13" s="8" t="inlineStr">
        <is>
          <t>（自动）</t>
        </is>
      </c>
      <c r="H13" s="8" t="inlineStr">
        <is>
          <t>（自动）</t>
        </is>
      </c>
      <c r="I13" s="8" t="inlineStr">
        <is>
          <t>（自动）</t>
        </is>
      </c>
      <c r="J13" s="8" t="inlineStr">
        <is>
          <t>（自动）</t>
        </is>
      </c>
      <c r="K13" s="8" t="inlineStr">
        <is>
          <t>（自动）</t>
        </is>
      </c>
      <c r="L13" s="7" t="n">
        <v>0</v>
      </c>
      <c r="M13" s="7" t="n">
        <v>0</v>
      </c>
      <c r="N13" s="9" t="inlineStr">
        <is>
          <t>名称和说明自动生成</t>
        </is>
      </c>
    </row>
    <row r="14">
      <c r="A14" s="6" t="inlineStr">
        <is>
          <t>m_sniper</t>
        </is>
      </c>
      <c r="B14" s="7" t="n">
        <v>1</v>
      </c>
      <c r="C14" s="6" t="inlineStr">
        <is>
          <t>徽章</t>
        </is>
      </c>
      <c r="D14" s="7" t="inlineStr">
        <is>
          <t>R</t>
        </is>
      </c>
      <c r="E14" s="7" t="n">
        <v>0</v>
      </c>
      <c r="F14" s="8" t="inlineStr">
        <is>
          <t>（自动）</t>
        </is>
      </c>
      <c r="G14" s="8" t="inlineStr">
        <is>
          <t>（自动）</t>
        </is>
      </c>
      <c r="H14" s="8" t="inlineStr">
        <is>
          <t>（自动）</t>
        </is>
      </c>
      <c r="I14" s="8" t="inlineStr">
        <is>
          <t>（自动）</t>
        </is>
      </c>
      <c r="J14" s="8" t="inlineStr">
        <is>
          <t>（自动）</t>
        </is>
      </c>
      <c r="K14" s="8" t="inlineStr">
        <is>
          <t>（自动）</t>
        </is>
      </c>
      <c r="L14" s="7" t="n">
        <v>0</v>
      </c>
      <c r="M14" s="7" t="n">
        <v>0</v>
      </c>
      <c r="N14" s="9" t="inlineStr">
        <is>
          <t>名称和说明自动生成</t>
        </is>
      </c>
    </row>
    <row r="15">
      <c r="A15" s="6" t="inlineStr">
        <is>
          <t>m_tesla</t>
        </is>
      </c>
      <c r="B15" s="7" t="n">
        <v>1</v>
      </c>
      <c r="C15" s="6" t="inlineStr">
        <is>
          <t>徽章</t>
        </is>
      </c>
      <c r="D15" s="7" t="inlineStr">
        <is>
          <t>R</t>
        </is>
      </c>
      <c r="E15" s="7" t="n">
        <v>0</v>
      </c>
      <c r="F15" s="8" t="inlineStr">
        <is>
          <t>（自动）</t>
        </is>
      </c>
      <c r="G15" s="8" t="inlineStr">
        <is>
          <t>（自动）</t>
        </is>
      </c>
      <c r="H15" s="8" t="inlineStr">
        <is>
          <t>（自动）</t>
        </is>
      </c>
      <c r="I15" s="8" t="inlineStr">
        <is>
          <t>（自动）</t>
        </is>
      </c>
      <c r="J15" s="8" t="inlineStr">
        <is>
          <t>（自动）</t>
        </is>
      </c>
      <c r="K15" s="8" t="inlineStr">
        <is>
          <t>（自动）</t>
        </is>
      </c>
      <c r="L15" s="7" t="n">
        <v>0</v>
      </c>
      <c r="M15" s="7" t="n">
        <v>0</v>
      </c>
      <c r="N15" s="9" t="inlineStr">
        <is>
          <t>名称和说明自动生成</t>
        </is>
      </c>
    </row>
    <row r="16">
      <c r="A16" s="6" t="inlineStr">
        <is>
          <t>m_miner</t>
        </is>
      </c>
      <c r="B16" s="7" t="n">
        <v>1</v>
      </c>
      <c r="C16" s="6" t="inlineStr">
        <is>
          <t>徽章</t>
        </is>
      </c>
      <c r="D16" s="7" t="inlineStr">
        <is>
          <t>R</t>
        </is>
      </c>
      <c r="E16" s="7" t="n">
        <v>0</v>
      </c>
      <c r="F16" s="8" t="inlineStr">
        <is>
          <t>（自动）</t>
        </is>
      </c>
      <c r="G16" s="8" t="inlineStr">
        <is>
          <t>（自动）</t>
        </is>
      </c>
      <c r="H16" s="8" t="inlineStr">
        <is>
          <t>（自动）</t>
        </is>
      </c>
      <c r="I16" s="8" t="inlineStr">
        <is>
          <t>（自动）</t>
        </is>
      </c>
      <c r="J16" s="8" t="inlineStr">
        <is>
          <t>（自动）</t>
        </is>
      </c>
      <c r="K16" s="8" t="inlineStr">
        <is>
          <t>（自动）</t>
        </is>
      </c>
      <c r="L16" s="7" t="n">
        <v>0</v>
      </c>
      <c r="M16" s="7" t="n">
        <v>0</v>
      </c>
      <c r="N16" s="9" t="inlineStr">
        <is>
          <t>名称和说明自动生成</t>
        </is>
      </c>
    </row>
    <row r="17">
      <c r="A17" s="6" t="inlineStr">
        <is>
          <t>m_lure</t>
        </is>
      </c>
      <c r="B17" s="7" t="n">
        <v>1</v>
      </c>
      <c r="C17" s="6" t="inlineStr">
        <is>
          <t>徽章</t>
        </is>
      </c>
      <c r="D17" s="7" t="inlineStr">
        <is>
          <t>R</t>
        </is>
      </c>
      <c r="E17" s="7" t="n">
        <v>0</v>
      </c>
      <c r="F17" s="8" t="inlineStr">
        <is>
          <t>（自动）</t>
        </is>
      </c>
      <c r="G17" s="8" t="inlineStr">
        <is>
          <t>（自动）</t>
        </is>
      </c>
      <c r="H17" s="8" t="inlineStr">
        <is>
          <t>（自动）</t>
        </is>
      </c>
      <c r="I17" s="8" t="inlineStr">
        <is>
          <t>（自动）</t>
        </is>
      </c>
      <c r="J17" s="8" t="inlineStr">
        <is>
          <t>（自动）</t>
        </is>
      </c>
      <c r="K17" s="8" t="inlineStr">
        <is>
          <t>（自动）</t>
        </is>
      </c>
      <c r="L17" s="7" t="n">
        <v>0</v>
      </c>
      <c r="M17" s="7" t="n">
        <v>0</v>
      </c>
      <c r="N17" s="9" t="inlineStr">
        <is>
          <t>名称和说明自动生成</t>
        </is>
      </c>
    </row>
    <row r="18">
      <c r="A18" s="6" t="inlineStr">
        <is>
          <t>breaker</t>
        </is>
      </c>
      <c r="B18" s="7" t="n">
        <v>1</v>
      </c>
      <c r="C18" s="6" t="inlineStr">
        <is>
          <t>道具</t>
        </is>
      </c>
      <c r="D18" s="7" t="inlineStr">
        <is>
          <t>L</t>
        </is>
      </c>
      <c r="E18" s="7" t="n">
        <v>0</v>
      </c>
      <c r="F18" s="8" t="inlineStr">
        <is>
          <t>创世鞋</t>
        </is>
      </c>
      <c r="G18" s="8" t="inlineStr">
        <is>
          <t>Genesis Sneaker</t>
        </is>
      </c>
      <c r="H18" s="8" t="inlineStr">
        <is>
          <t>Sneaker Genesis</t>
        </is>
      </c>
      <c r="I18" s="8" t="inlineStr">
        <is>
          <t>6 级专精升级费用 −30%</t>
        </is>
      </c>
      <c r="J18" s="8" t="inlineStr">
        <is>
          <t>Tier-6 specialisation upgrades −30%</t>
        </is>
      </c>
      <c r="K18" s="8" t="inlineStr">
        <is>
          <t>Spécialisations de niveau 6 −30 %</t>
        </is>
      </c>
      <c r="L18" s="7" t="n">
        <v>0.7</v>
      </c>
      <c r="M18" s="7" t="n">
        <v>0</v>
      </c>
      <c r="N18" s="9" t="inlineStr">
        <is>
          <t>v1 = 费用倍率</t>
        </is>
      </c>
    </row>
    <row r="19">
      <c r="A19" s="6" t="inlineStr">
        <is>
          <t>drill</t>
        </is>
      </c>
      <c r="B19" s="7" t="n">
        <v>1</v>
      </c>
      <c r="C19" s="6" t="inlineStr">
        <is>
          <t>宝石</t>
        </is>
      </c>
      <c r="D19" s="7" t="inlineStr">
        <is>
          <t>C</t>
        </is>
      </c>
      <c r="E19" s="7" t="n">
        <v>1</v>
      </c>
      <c r="F19" s="8" t="inlineStr">
        <is>
          <t>效率宝石</t>
        </is>
      </c>
      <c r="G19" s="8" t="inlineStr">
        <is>
          <t>Efficiency Gem</t>
        </is>
      </c>
      <c r="H19" s="8" t="inlineStr">
        <is>
          <t>Gemme d’efficacité</t>
        </is>
      </c>
      <c r="I19" s="8" t="inlineStr">
        <is>
          <t>所有装置效果 +15%（可叠加）</t>
        </is>
      </c>
      <c r="J19" s="8" t="inlineStr">
        <is>
          <t>All devices +15% effect (stacks)</t>
        </is>
      </c>
      <c r="K19" s="8" t="inlineStr">
        <is>
          <t>Tous les dispositifs +15 % d’effet (cumulable)</t>
        </is>
      </c>
      <c r="L19" s="7" t="n">
        <v>0.15</v>
      </c>
      <c r="M19" s="7" t="n">
        <v>0</v>
      </c>
      <c r="N19" s="9" t="inlineStr">
        <is>
          <t>v1 = 效果加成</t>
        </is>
      </c>
    </row>
    <row r="20">
      <c r="A20" s="6" t="inlineStr">
        <is>
          <t>crit</t>
        </is>
      </c>
      <c r="B20" s="7" t="n">
        <v>1</v>
      </c>
      <c r="C20" s="6" t="inlineStr">
        <is>
          <t>宝石</t>
        </is>
      </c>
      <c r="D20" s="7" t="inlineStr">
        <is>
          <t>C</t>
        </is>
      </c>
      <c r="E20" s="7" t="n">
        <v>1</v>
      </c>
      <c r="F20" s="8" t="inlineStr">
        <is>
          <t>幸运宝石</t>
        </is>
      </c>
      <c r="G20" s="8" t="inlineStr">
        <is>
          <t>Luck Gem</t>
        </is>
      </c>
      <c r="H20" s="8" t="inlineStr">
        <is>
          <t>Gemme de chance</t>
        </is>
      </c>
      <c r="I20" s="8" t="inlineStr">
        <is>
          <t>暴击率 +10%（可叠加）</t>
        </is>
      </c>
      <c r="J20" s="8" t="inlineStr">
        <is>
          <t>Crit chance +10% (stacks)</t>
        </is>
      </c>
      <c r="K20" s="8" t="inlineStr">
        <is>
          <t>Chance de critique +10 % (cumulable)</t>
        </is>
      </c>
      <c r="L20" s="7" t="n">
        <v>0.1</v>
      </c>
      <c r="M20" s="7" t="n">
        <v>0</v>
      </c>
      <c r="N20" s="9" t="inlineStr">
        <is>
          <t>v1 = 暴击率加成</t>
        </is>
      </c>
    </row>
    <row r="21">
      <c r="A21" s="6" t="inlineStr">
        <is>
          <t>heart</t>
        </is>
      </c>
      <c r="B21" s="7" t="n">
        <v>1</v>
      </c>
      <c r="C21" s="6" t="inlineStr">
        <is>
          <t>宝石</t>
        </is>
      </c>
      <c r="D21" s="7" t="inlineStr">
        <is>
          <t>C</t>
        </is>
      </c>
      <c r="E21" s="7" t="n">
        <v>1</v>
      </c>
      <c r="F21" s="8" t="inlineStr">
        <is>
          <t>舒适宝石</t>
        </is>
      </c>
      <c r="G21" s="8" t="inlineStr">
        <is>
          <t>Comfort Gem</t>
        </is>
      </c>
      <c r="H21" s="8" t="inlineStr">
        <is>
          <t>Gemme de confort</t>
        </is>
      </c>
      <c r="I21" s="8" t="inlineStr">
        <is>
          <t>生命 +6</t>
        </is>
      </c>
      <c r="J21" s="8" t="inlineStr">
        <is>
          <t>Lives +6</t>
        </is>
      </c>
      <c r="K21" s="8" t="inlineStr">
        <is>
          <t>Vies +6</t>
        </is>
      </c>
      <c r="L21" s="7" t="n">
        <v>6</v>
      </c>
      <c r="M21" s="7" t="n">
        <v>0</v>
      </c>
      <c r="N21" s="9" t="inlineStr">
        <is>
          <t>v1 = 生命</t>
        </is>
      </c>
    </row>
    <row r="22">
      <c r="A22" s="6" t="inlineStr">
        <is>
          <t>loot</t>
        </is>
      </c>
      <c r="B22" s="7" t="n">
        <v>1</v>
      </c>
      <c r="C22" s="6" t="inlineStr">
        <is>
          <t>道具</t>
        </is>
      </c>
      <c r="D22" s="7" t="inlineStr">
        <is>
          <t>C</t>
        </is>
      </c>
      <c r="E22" s="7" t="n">
        <v>1</v>
      </c>
      <c r="F22" s="8" t="inlineStr">
        <is>
          <t>GST 红包</t>
        </is>
      </c>
      <c r="G22" s="8" t="inlineStr">
        <is>
          <t>GST Red Packet</t>
        </is>
      </c>
      <c r="H22" s="8" t="inlineStr">
        <is>
          <t>Enveloppe GST</t>
        </is>
      </c>
      <c r="I22" s="8" t="inlineStr">
        <is>
          <t>立即获得 120 GST</t>
        </is>
      </c>
      <c r="J22" s="8" t="inlineStr">
        <is>
          <t>Get 120 GST now</t>
        </is>
      </c>
      <c r="K22" s="8" t="inlineStr">
        <is>
          <t>Gagne 120 GST tout de suite</t>
        </is>
      </c>
      <c r="L22" s="7" t="n">
        <v>120</v>
      </c>
      <c r="M22" s="7" t="n">
        <v>0</v>
      </c>
      <c r="N22" s="9" t="inlineStr">
        <is>
          <t>v1 = GST</t>
        </is>
      </c>
    </row>
    <row r="23">
      <c r="A23" s="6" t="inlineStr">
        <is>
          <t>golden</t>
        </is>
      </c>
      <c r="B23" s="7" t="n">
        <v>1</v>
      </c>
      <c r="C23" s="6" t="inlineStr">
        <is>
          <t>道具</t>
        </is>
      </c>
      <c r="D23" s="7" t="inlineStr">
        <is>
          <t>C</t>
        </is>
      </c>
      <c r="E23" s="7" t="n">
        <v>0</v>
      </c>
      <c r="F23" s="8" t="inlineStr">
        <is>
          <t>神秘箱</t>
        </is>
      </c>
      <c r="G23" s="8" t="inlineStr">
        <is>
          <t>Mystery Box</t>
        </is>
      </c>
      <c r="H23" s="8" t="inlineStr">
        <is>
          <t>Mystery Box</t>
        </is>
      </c>
      <c r="I23" s="8" t="inlineStr">
        <is>
          <t>10% 的对手跑者背着神秘箱，劝退后 GST ×5</t>
        </is>
      </c>
      <c r="J23" s="8" t="inlineStr">
        <is>
          <t>10% of rival runners carry a Mystery Box: GST ×5 when they quit</t>
        </is>
      </c>
      <c r="K23" s="8" t="inlineStr">
        <is>
          <t>10 % des coureurs rivaux portent une Mystery Box : GST ×5 à l’abandon</t>
        </is>
      </c>
      <c r="L23" s="7" t="n">
        <v>0</v>
      </c>
      <c r="M23" s="7" t="n">
        <v>0</v>
      </c>
      <c r="N23" s="9" t="inlineStr">
        <is>
          <t>概率与倍率见全局</t>
        </is>
      </c>
    </row>
    <row r="24">
      <c r="A24" s="6" t="inlineStr">
        <is>
          <t>bank</t>
        </is>
      </c>
      <c r="B24" s="7" t="n">
        <v>1</v>
      </c>
      <c r="C24" s="6" t="inlineStr">
        <is>
          <t>道具</t>
        </is>
      </c>
      <c r="D24" s="7" t="inlineStr">
        <is>
          <t>R</t>
        </is>
      </c>
      <c r="E24" s="7" t="n">
        <v>0</v>
      </c>
      <c r="F24" s="8" t="inlineStr">
        <is>
          <t>GMT 质押</t>
        </is>
      </c>
      <c r="G24" s="8" t="inlineStr">
        <is>
          <t>GMT Staking</t>
        </is>
      </c>
      <c r="H24" s="8" t="inlineStr">
        <is>
          <t>Staking GMT</t>
        </is>
      </c>
      <c r="I24" s="8" t="inlineStr">
        <is>
          <t>每波结束获得当前 GST 10% 的利息（最多 60）</t>
        </is>
      </c>
      <c r="J24" s="8" t="inlineStr">
        <is>
          <t>After each wave, earn 10% interest on your GST (max 60)</t>
        </is>
      </c>
      <c r="K24" s="8" t="inlineStr">
        <is>
          <t>Après chaque vague, 10 % d’intérêts sur ton GST (max 60)</t>
        </is>
      </c>
      <c r="L24" s="7" t="n">
        <v>0</v>
      </c>
      <c r="M24" s="7" t="n">
        <v>0</v>
      </c>
      <c r="N24" s="9" t="inlineStr">
        <is>
          <t>利率与上限见全局</t>
        </is>
      </c>
    </row>
    <row r="25">
      <c r="A25" s="6" t="inlineStr">
        <is>
          <t>pop</t>
        </is>
      </c>
      <c r="B25" s="7" t="n">
        <v>1</v>
      </c>
      <c r="C25" s="6" t="inlineStr">
        <is>
          <t>道具</t>
        </is>
      </c>
      <c r="D25" s="7" t="inlineStr">
        <is>
          <t>R</t>
        </is>
      </c>
      <c r="E25" s="7" t="n">
        <v>0</v>
      </c>
      <c r="F25" s="8" t="inlineStr">
        <is>
          <t>Gas Hero 毒气</t>
        </is>
      </c>
      <c r="G25" s="8" t="inlineStr">
        <is>
          <t>Gas Hero Gas</t>
        </is>
      </c>
      <c r="H25" s="8" t="inlineStr">
        <is>
          <t>Gaz Gas Hero</t>
        </is>
      </c>
      <c r="I25" s="8" t="inlineStr">
        <is>
          <t>跑者退赛时喷出毒气，波及身边跑者，可以连锁</t>
        </is>
      </c>
      <c r="J25" s="8" t="inlineStr">
        <is>
          <t>Runners who quit release gas that hits those nearby, and can chain</t>
        </is>
      </c>
      <c r="K25" s="8" t="inlineStr">
        <is>
          <t>Les coureurs qui abandonnent libèrent un gaz qui touche les voisins, en chaîne</t>
        </is>
      </c>
      <c r="L25" s="7" t="n">
        <v>0</v>
      </c>
      <c r="M25" s="7" t="n">
        <v>0</v>
      </c>
      <c r="N25" s="9" t="inlineStr">
        <is>
          <t>数值见全局</t>
        </is>
      </c>
    </row>
    <row r="26">
      <c r="A26" s="6" t="inlineStr">
        <is>
          <t>cheap</t>
        </is>
      </c>
      <c r="B26" s="7" t="n">
        <v>1</v>
      </c>
      <c r="C26" s="6" t="inlineStr">
        <is>
          <t>道具</t>
        </is>
      </c>
      <c r="D26" s="7" t="inlineStr">
        <is>
          <t>R</t>
        </is>
      </c>
      <c r="E26" s="7" t="n">
        <v>0</v>
      </c>
      <c r="F26" s="8" t="inlineStr">
        <is>
          <t>MOOAR 折扣</t>
        </is>
      </c>
      <c r="G26" s="8" t="inlineStr">
        <is>
          <t>MOOAR Discount</t>
        </is>
      </c>
      <c r="H26" s="8" t="inlineStr">
        <is>
          <t>Remise MOOAR</t>
        </is>
      </c>
      <c r="I26" s="8" t="inlineStr">
        <is>
          <t>放置和升级费用 −20%</t>
        </is>
      </c>
      <c r="J26" s="8" t="inlineStr">
        <is>
          <t>Placing and upgrading −20%</t>
        </is>
      </c>
      <c r="K26" s="8" t="inlineStr">
        <is>
          <t>Placement et améliorations −20 %</t>
        </is>
      </c>
      <c r="L26" s="7" t="n">
        <v>0.8</v>
      </c>
      <c r="M26" s="7" t="n">
        <v>0</v>
      </c>
      <c r="N26" s="9" t="inlineStr">
        <is>
          <t>v1 = 费用倍率</t>
        </is>
      </c>
    </row>
    <row r="27">
      <c r="A27" s="6" t="inlineStr">
        <is>
          <t>maniac</t>
        </is>
      </c>
      <c r="B27" s="7" t="n">
        <v>1</v>
      </c>
      <c r="C27" s="6" t="inlineStr">
        <is>
          <t>道具</t>
        </is>
      </c>
      <c r="D27" s="7" t="inlineStr">
        <is>
          <t>R</t>
        </is>
      </c>
      <c r="E27" s="7" t="n">
        <v>0</v>
      </c>
      <c r="F27" s="8" t="inlineStr">
        <is>
          <t>连续打卡</t>
        </is>
      </c>
      <c r="G27" s="8" t="inlineStr">
        <is>
          <t>Check-in Streak</t>
        </is>
      </c>
      <c r="H27" s="8" t="inlineStr">
        <is>
          <t>Série de check-ins</t>
        </is>
      </c>
      <c r="I27" s="8" t="inlineStr">
        <is>
          <t>燃脂模式所需连续劝退 50 → 30</t>
        </is>
      </c>
      <c r="J27" s="8" t="inlineStr">
        <is>
          <t>Fat-burn mode needs 30 stops instead of 50</t>
        </is>
      </c>
      <c r="K27" s="8" t="inlineStr">
        <is>
          <t>Le mode brûle-graisse demande 30 arrêts au lieu de 50</t>
        </is>
      </c>
      <c r="L27" s="7" t="n">
        <v>30</v>
      </c>
      <c r="M27" s="7" t="n">
        <v>0</v>
      </c>
      <c r="N27" s="9" t="inlineStr">
        <is>
          <t>v1 = 所需连续劝退</t>
        </is>
      </c>
    </row>
    <row r="28">
      <c r="A28" s="6" t="inlineStr">
        <is>
          <t>devil</t>
        </is>
      </c>
      <c r="B28" s="7" t="n">
        <v>1</v>
      </c>
      <c r="C28" s="6" t="inlineStr">
        <is>
          <t>交易</t>
        </is>
      </c>
      <c r="D28" s="7" t="inlineStr">
        <is>
          <t>R</t>
        </is>
      </c>
      <c r="E28" s="7" t="n">
        <v>0</v>
      </c>
      <c r="F28" s="8" t="inlineStr">
        <is>
          <t>GST 借贷</t>
        </is>
      </c>
      <c r="G28" s="8" t="inlineStr">
        <is>
          <t>GST Loan</t>
        </is>
      </c>
      <c r="H28" s="8" t="inlineStr">
        <is>
          <t>Prêt GST</t>
        </is>
      </c>
      <c r="I28" s="8" t="inlineStr">
        <is>
          <t>立即生效：+250 GST；之后对手体力 +15%</t>
        </is>
      </c>
      <c r="J28" s="8" t="inlineStr">
        <is>
          <t>Instant: +250 GST; rivals get +15% stamina from now on</t>
        </is>
      </c>
      <c r="K28" s="8" t="inlineStr">
        <is>
          <t>Immédiat : +250 GST ; les rivaux ont ensuite +15 % d’endurance</t>
        </is>
      </c>
      <c r="L28" s="7" t="n">
        <v>250</v>
      </c>
      <c r="M28" s="7" t="n">
        <v>1.15</v>
      </c>
      <c r="N28" s="9" t="inlineStr">
        <is>
          <t>v1 = GST，v2 = 对手体力倍率</t>
        </is>
      </c>
    </row>
    <row r="29">
      <c r="A29" s="6" t="inlineStr">
        <is>
          <t>glass</t>
        </is>
      </c>
      <c r="B29" s="7" t="n">
        <v>1</v>
      </c>
      <c r="C29" s="6" t="inlineStr">
        <is>
          <t>交易</t>
        </is>
      </c>
      <c r="D29" s="7" t="inlineStr">
        <is>
          <t>R</t>
        </is>
      </c>
      <c r="E29" s="7" t="n">
        <v>0</v>
      </c>
      <c r="F29" s="8" t="inlineStr">
        <is>
          <t>透支生命</t>
        </is>
      </c>
      <c r="G29" s="8" t="inlineStr">
        <is>
          <t>Overdraw Lives</t>
        </is>
      </c>
      <c r="H29" s="8" t="inlineStr">
        <is>
          <t>Vies à découvert</t>
        </is>
      </c>
      <c r="I29" s="8" t="inlineStr">
        <is>
          <t>立即生效：所有装置效果 +40%；生命 −10</t>
        </is>
      </c>
      <c r="J29" s="8" t="inlineStr">
        <is>
          <t>Instant: all devices +40% effect; lives −10</t>
        </is>
      </c>
      <c r="K29" s="8" t="inlineStr">
        <is>
          <t>Immédiat : tous les dispositifs +40 % d’effet ; vies −10</t>
        </is>
      </c>
      <c r="L29" s="7" t="n">
        <v>0.4</v>
      </c>
      <c r="M29" s="7" t="n">
        <v>10</v>
      </c>
      <c r="N29" s="9" t="inlineStr">
        <is>
          <t>v1 = 效果加成，v2 = 扣除生命</t>
        </is>
      </c>
    </row>
    <row r="30">
      <c r="A30" s="6" t="inlineStr">
        <is>
          <t>track</t>
        </is>
      </c>
      <c r="B30" s="7" t="n">
        <v>1</v>
      </c>
      <c r="C30" s="6" t="inlineStr">
        <is>
          <t>交易</t>
        </is>
      </c>
      <c r="D30" s="7" t="inlineStr">
        <is>
          <t>R</t>
        </is>
      </c>
      <c r="E30" s="7" t="n">
        <v>0</v>
      </c>
      <c r="F30" s="8" t="inlineStr">
        <is>
          <t>牛市狂奔</t>
        </is>
      </c>
      <c r="G30" s="8" t="inlineStr">
        <is>
          <t>Bull Run</t>
        </is>
      </c>
      <c r="H30" s="8" t="inlineStr">
        <is>
          <t>Bull run</t>
        </is>
      </c>
      <c r="I30" s="8" t="inlineStr">
        <is>
          <t>立即生效：对手移速 +15%；劝退获得 GST +50%</t>
        </is>
      </c>
      <c r="J30" s="8" t="inlineStr">
        <is>
          <t>Instant: rivals +15% speed; +50% GST per runner stopped</t>
        </is>
      </c>
      <c r="K30" s="8" t="inlineStr">
        <is>
          <t>Immédiat : rivaux +15 % de vitesse ; +50 % de GST par coureur arrêté</t>
        </is>
      </c>
      <c r="L30" s="7" t="n">
        <v>1.15</v>
      </c>
      <c r="M30" s="7" t="n">
        <v>1.5</v>
      </c>
      <c r="N30" s="9" t="inlineStr">
        <is>
          <t>v1 = 对手速度倍率，v2 = GST 倍率</t>
        </is>
      </c>
    </row>
    <row r="31">
      <c r="A31" s="6" t="inlineStr">
        <is>
          <t>twin</t>
        </is>
      </c>
      <c r="B31" s="7" t="n">
        <v>1</v>
      </c>
      <c r="C31" s="6" t="inlineStr">
        <is>
          <t>道具</t>
        </is>
      </c>
      <c r="D31" s="7" t="inlineStr">
        <is>
          <t>L</t>
        </is>
      </c>
      <c r="E31" s="7" t="n">
        <v>0</v>
      </c>
      <c r="F31" s="8" t="inlineStr">
        <is>
          <t>双倍铸造</t>
        </is>
      </c>
      <c r="G31" s="8" t="inlineStr">
        <is>
          <t>Double Mint</t>
        </is>
      </c>
      <c r="H31" s="8" t="inlineStr">
        <is>
          <t>Double mint</t>
        </is>
      </c>
      <c r="I31" s="8" t="inlineStr">
        <is>
          <t>所有装置每次出手有 20% 概率立刻再来一次</t>
        </is>
      </c>
      <c r="J31" s="8" t="inlineStr">
        <is>
          <t>Every device has a 20% chance to act again instantly</t>
        </is>
      </c>
      <c r="K31" s="8" t="inlineStr">
        <is>
          <t>Chaque dispositif a 20 % de chances d’agir à nouveau</t>
        </is>
      </c>
      <c r="L31" s="7" t="n">
        <v>0</v>
      </c>
      <c r="M31" s="7" t="n">
        <v>0</v>
      </c>
      <c r="N31" s="9" t="inlineStr">
        <is>
          <t>概率见全局 twinChance</t>
        </is>
      </c>
    </row>
    <row r="32">
      <c r="A32" s="6" t="inlineStr">
        <is>
          <t>chain</t>
        </is>
      </c>
      <c r="B32" s="7" t="n">
        <v>1</v>
      </c>
      <c r="C32" s="6" t="inlineStr">
        <is>
          <t>道具</t>
        </is>
      </c>
      <c r="D32" s="7" t="inlineStr">
        <is>
          <t>L</t>
        </is>
      </c>
      <c r="E32" s="7" t="n">
        <v>0</v>
      </c>
      <c r="F32" s="8" t="inlineStr">
        <is>
          <t>Gas Hero 连环毒气</t>
        </is>
      </c>
      <c r="G32" s="8" t="inlineStr">
        <is>
          <t>Gas Hero Chain Gas</t>
        </is>
      </c>
      <c r="H32" s="8" t="inlineStr">
        <is>
          <t>Gaz en chaîne Gas Hero</t>
        </is>
      </c>
      <c r="I32" s="8" t="inlineStr">
        <is>
          <t>毒气范围 +50%、效果翻倍</t>
        </is>
      </c>
      <c r="J32" s="8" t="inlineStr">
        <is>
          <t>Gas area +50%, effect doubled</t>
        </is>
      </c>
      <c r="K32" s="8" t="inlineStr">
        <is>
          <t>Zone de gaz +50 %, effet doublé</t>
        </is>
      </c>
      <c r="L32" s="7" t="n">
        <v>0</v>
      </c>
      <c r="M32" s="7" t="n">
        <v>0</v>
      </c>
      <c r="N32" s="9" t="inlineStr">
        <is>
          <t>需先有 Gas Hero 毒气</t>
        </is>
      </c>
    </row>
    <row r="33">
      <c r="A33" s="6" t="inlineStr">
        <is>
          <t>overclock</t>
        </is>
      </c>
      <c r="B33" s="7" t="n">
        <v>1</v>
      </c>
      <c r="C33" s="6" t="inlineStr">
        <is>
          <t>道具</t>
        </is>
      </c>
      <c r="D33" s="7" t="inlineStr">
        <is>
          <t>L</t>
        </is>
      </c>
      <c r="E33" s="7" t="n">
        <v>0</v>
      </c>
      <c r="F33" s="8" t="inlineStr">
        <is>
          <t>马拉松模式</t>
        </is>
      </c>
      <c r="G33" s="8" t="inlineStr">
        <is>
          <t>Marathon Mode</t>
        </is>
      </c>
      <c r="H33" s="8" t="inlineStr">
        <is>
          <t>Mode marathon</t>
        </is>
      </c>
      <c r="I33" s="8" t="inlineStr">
        <is>
          <t>燃脂模式持续 10 秒，出手速度 ×2</t>
        </is>
      </c>
      <c r="J33" s="8" t="inlineStr">
        <is>
          <t>Fat-burn mode lasts 10 s at ×2 speed</t>
        </is>
      </c>
      <c r="K33" s="8" t="inlineStr">
        <is>
          <t>Le mode brûle-graisse dure 10 s à vitesse ×2</t>
        </is>
      </c>
      <c r="L33" s="7" t="n">
        <v>0</v>
      </c>
      <c r="M33" s="7" t="n">
        <v>0</v>
      </c>
      <c r="N33" s="9" t="inlineStr">
        <is>
          <t>数值见全局</t>
        </is>
      </c>
    </row>
    <row r="35">
      <c r="A35" s="10" t="inlineStr">
        <is>
          <t>※ 徽章卡（m_ 开头）的名称和说明由装置简称自动生成，填写无效。稀有度权重在「全局」rarityC/R/L。</t>
        </is>
      </c>
    </row>
  </sheetData>
  <dataValidations count="3">
    <dataValidation sqref="B3:B60" showDropDown="0" showInputMessage="0" showErrorMessage="0" allowBlank="0" type="list">
      <formula1>"0,1"</formula1>
    </dataValidation>
    <dataValidation sqref="D3:D60" showDropDown="0" showInputMessage="0" showErrorMessage="0" allowBlank="0" type="list">
      <formula1>"C,R,L"</formula1>
    </dataValidation>
    <dataValidation sqref="E3:E6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K10"/>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2" customWidth="1" min="3" max="3"/>
    <col width="14" customWidth="1" min="4" max="4"/>
    <col width="16" customWidth="1" min="5" max="5"/>
    <col width="40" customWidth="1" min="6" max="6"/>
    <col width="44" customWidth="1" min="7" max="7"/>
    <col width="48" customWidth="1" min="8" max="8"/>
    <col width="12" customWidth="1" min="9" max="9"/>
    <col width="12" customWidth="1" min="10" max="10"/>
    <col width="22" customWidth="1" min="11" max="11"/>
  </cols>
  <sheetData>
    <row r="1" ht="30" customHeight="1">
      <c r="A1" s="4" t="inlineStr">
        <is>
          <t>id</t>
        </is>
      </c>
      <c r="B1" s="4" t="inlineStr">
        <is>
          <t>启用（1/0）</t>
        </is>
      </c>
      <c r="C1" s="4" t="inlineStr">
        <is>
          <t>名称（中文）</t>
        </is>
      </c>
      <c r="D1" s="4" t="inlineStr">
        <is>
          <t>名称（English）</t>
        </is>
      </c>
      <c r="E1" s="4" t="inlineStr">
        <is>
          <t>名称（Français）</t>
        </is>
      </c>
      <c r="F1" s="4" t="inlineStr">
        <is>
          <t>说明（中文）</t>
        </is>
      </c>
      <c r="G1" s="4" t="inlineStr">
        <is>
          <t>说明（English）</t>
        </is>
      </c>
      <c r="H1" s="4" t="inlineStr">
        <is>
          <t>说明（Français）</t>
        </is>
      </c>
      <c r="I1" s="4" t="inlineStr">
        <is>
          <t>对手移速倍率</t>
        </is>
      </c>
      <c r="J1" s="4" t="inlineStr">
        <is>
          <t>对手体力倍率</t>
        </is>
      </c>
      <c r="K1" s="4" t="inlineStr">
        <is>
          <t>入口 / 出口 / 路线数</t>
        </is>
      </c>
    </row>
    <row r="2">
      <c r="A2" s="5" t="inlineStr">
        <is>
          <t>id</t>
        </is>
      </c>
      <c r="B2" s="5" t="inlineStr">
        <is>
          <t>enabled</t>
        </is>
      </c>
      <c r="C2" s="5" t="inlineStr">
        <is>
          <t>name_zh</t>
        </is>
      </c>
      <c r="D2" s="5" t="inlineStr">
        <is>
          <t>name_en</t>
        </is>
      </c>
      <c r="E2" s="5" t="inlineStr">
        <is>
          <t>name_fr</t>
        </is>
      </c>
      <c r="F2" s="5" t="inlineStr">
        <is>
          <t>desc_zh</t>
        </is>
      </c>
      <c r="G2" s="5" t="inlineStr">
        <is>
          <t>desc_en</t>
        </is>
      </c>
      <c r="H2" s="5" t="inlineStr">
        <is>
          <t>desc_fr</t>
        </is>
      </c>
      <c r="I2" s="5" t="inlineStr">
        <is>
          <t>spdMult</t>
        </is>
      </c>
      <c r="J2" s="5" t="inlineStr">
        <is>
          <t>hpMult</t>
        </is>
      </c>
      <c r="K2" s="5" t="inlineStr"/>
    </row>
    <row r="3">
      <c r="A3" s="6" t="inlineStr">
        <is>
          <t>classic</t>
        </is>
      </c>
      <c r="B3" s="7" t="n">
        <v>1</v>
      </c>
      <c r="C3" s="8" t="inlineStr">
        <is>
          <t>蛇形跑道</t>
        </is>
      </c>
      <c r="D3" s="8" t="inlineStr">
        <is>
          <t>Serpentine</t>
        </is>
      </c>
      <c r="E3" s="8" t="inlineStr">
        <is>
          <t>Serpentin</t>
        </is>
      </c>
      <c r="F3" s="8" t="inlineStr">
        <is>
          <t>1 进 1 出：一条长蛇形跑道，经典布局</t>
        </is>
      </c>
      <c r="G3" s="8" t="inlineStr">
        <is>
          <t>1 in, 1 out: one long winding track, the classic layout.</t>
        </is>
      </c>
      <c r="H3" s="8" t="inlineStr">
        <is>
          <t>1 entrée, 1 sortie : une longue piste sinueuse, le tracé classique.</t>
        </is>
      </c>
      <c r="I3" s="7" t="n">
        <v>1</v>
      </c>
      <c r="J3" s="7" t="n">
        <v>1</v>
      </c>
      <c r="K3" s="9" t="inlineStr">
        <is>
          <t>1 进 1 出 · 1 条路线</t>
        </is>
      </c>
    </row>
    <row r="4">
      <c r="A4" s="6" t="inlineStr">
        <is>
          <t>twin</t>
        </is>
      </c>
      <c r="B4" s="7" t="n">
        <v>1</v>
      </c>
      <c r="C4" s="8" t="inlineStr">
        <is>
          <t>双子跑道</t>
        </is>
      </c>
      <c r="D4" s="8" t="inlineStr">
        <is>
          <t>Twin Tracks</t>
        </is>
      </c>
      <c r="E4" s="8" t="inlineStr">
        <is>
          <t>Pistes jumelles</t>
        </is>
      </c>
      <c r="F4" s="8" t="inlineStr">
        <is>
          <t>2 进 2 出：两条互不相交的跑道，中间一列空位可以同时照顾两边</t>
        </is>
      </c>
      <c r="G4" s="8" t="inlineStr">
        <is>
          <t>2 in, 2 out: two separate tracks; the middle column of spots can cover both.</t>
        </is>
      </c>
      <c r="H4" s="8" t="inlineStr">
        <is>
          <t>2 entrées, 2 sorties : deux pistes séparées ; la colonne centrale couvre les deux.</t>
        </is>
      </c>
      <c r="I4" s="7" t="n">
        <v>0.85</v>
      </c>
      <c r="J4" s="7" t="n">
        <v>1</v>
      </c>
      <c r="K4" s="9" t="inlineStr">
        <is>
          <t>2 进 2 出 · 2 条路线</t>
        </is>
      </c>
    </row>
    <row r="5">
      <c r="A5" s="6" t="inlineStr">
        <is>
          <t>fork</t>
        </is>
      </c>
      <c r="B5" s="7" t="n">
        <v>1</v>
      </c>
      <c r="C5" s="8" t="inlineStr">
        <is>
          <t>分岔路口</t>
        </is>
      </c>
      <c r="D5" s="8" t="inlineStr">
        <is>
          <t>The Fork</t>
        </is>
      </c>
      <c r="E5" s="8" t="inlineStr">
        <is>
          <t>La Fourche</t>
        </is>
      </c>
      <c r="F5" s="8" t="inlineStr">
        <is>
          <t>1 进 2 出：跑者在路口分成左右两路，入口处是必争之地</t>
        </is>
      </c>
      <c r="G5" s="8" t="inlineStr">
        <is>
          <t>1 in, 2 out: runners split left and right at the junction, so the entrance is key.</t>
        </is>
      </c>
      <c r="H5" s="8" t="inlineStr">
        <is>
          <t>1 entrée, 2 sorties : les coureurs se séparent au carrefour ; l’entrée est décisive.</t>
        </is>
      </c>
      <c r="I5" s="7" t="n">
        <v>0.85</v>
      </c>
      <c r="J5" s="7" t="n">
        <v>1</v>
      </c>
      <c r="K5" s="9" t="inlineStr">
        <is>
          <t>1 进 2 出 · 2 条路线</t>
        </is>
      </c>
    </row>
    <row r="6">
      <c r="A6" s="6" t="inlineStr">
        <is>
          <t>merge</t>
        </is>
      </c>
      <c r="B6" s="7" t="n">
        <v>1</v>
      </c>
      <c r="C6" s="8" t="inlineStr">
        <is>
          <t>汇流跑道</t>
        </is>
      </c>
      <c r="D6" s="8" t="inlineStr">
        <is>
          <t>Confluence</t>
        </is>
      </c>
      <c r="E6" s="8" t="inlineStr">
        <is>
          <t>Confluence</t>
        </is>
      </c>
      <c r="F6" s="8" t="inlineStr">
        <is>
          <t>2 进 1 出：两路跑者从两侧进场，在中间汇合后一起冲向终点</t>
        </is>
      </c>
      <c r="G6" s="8" t="inlineStr">
        <is>
          <t>2 in, 1 out: runners enter from both sides, merge in the middle and rush the finish together.</t>
        </is>
      </c>
      <c r="H6" s="8" t="inlineStr">
        <is>
          <t>2 entrées, 1 sortie : les coureurs arrivent des deux côtés, se rejoignent au centre et filent ensemble.</t>
        </is>
      </c>
      <c r="I6" s="7" t="n">
        <v>0.95</v>
      </c>
      <c r="J6" s="7" t="n">
        <v>1</v>
      </c>
      <c r="K6" s="9" t="inlineStr">
        <is>
          <t>2 进 1 出 · 2 条路线</t>
        </is>
      </c>
    </row>
    <row r="7">
      <c r="A7" s="6" t="inlineStr">
        <is>
          <t>cross</t>
        </is>
      </c>
      <c r="B7" s="7" t="n">
        <v>1</v>
      </c>
      <c r="C7" s="8" t="inlineStr">
        <is>
          <t>十字路口</t>
        </is>
      </c>
      <c r="D7" s="8" t="inlineStr">
        <is>
          <t>Crossroads</t>
        </is>
      </c>
      <c r="E7" s="8" t="inlineStr">
        <is>
          <t>Carrefour</t>
        </is>
      </c>
      <c r="F7" s="8" t="inlineStr">
        <is>
          <t>2 进 2 出：一路从上到下、一路从左到右，两条跑道在右下交叉</t>
        </is>
      </c>
      <c r="G7" s="8" t="inlineStr">
        <is>
          <t>2 in, 2 out: one track runs top to bottom, the other left to right; they cross at the bottom right.</t>
        </is>
      </c>
      <c r="H7" s="8" t="inlineStr">
        <is>
          <t>2 entrées, 2 sorties : une piste du haut vers le bas, l’autre de gauche à droite ; elles se croisent en bas à droite.</t>
        </is>
      </c>
      <c r="I7" s="7" t="n">
        <v>0.8</v>
      </c>
      <c r="J7" s="7" t="n">
        <v>1</v>
      </c>
      <c r="K7" s="9" t="inlineStr">
        <is>
          <t>2 进 2 出 · 2 条路线</t>
        </is>
      </c>
    </row>
    <row r="8">
      <c r="A8" s="6" t="inlineStr">
        <is>
          <t>trident</t>
        </is>
      </c>
      <c r="B8" s="7" t="n">
        <v>1</v>
      </c>
      <c r="C8" s="8" t="inlineStr">
        <is>
          <t>三路汇聚</t>
        </is>
      </c>
      <c r="D8" s="8" t="inlineStr">
        <is>
          <t>Trident</t>
        </is>
      </c>
      <c r="E8" s="8" t="inlineStr">
        <is>
          <t>Trident</t>
        </is>
      </c>
      <c r="F8" s="8" t="inlineStr">
        <is>
          <t>3 进 1 出：左右两路绕远，中路直冲终点，要优先守住中路</t>
        </is>
      </c>
      <c r="G8" s="8" t="inlineStr">
        <is>
          <t>3 in, 1 out: the side tracks loop around while the middle one runs straight to the finish, so guard the middle first.</t>
        </is>
      </c>
      <c r="H8" s="8" t="inlineStr">
        <is>
          <t>3 entrées, 1 sortie : les côtés font un détour, le centre file droit à l’arrivée ; protège le centre en priorité.</t>
        </is>
      </c>
      <c r="I8" s="7" t="n">
        <v>0.8</v>
      </c>
      <c r="J8" s="7" t="n">
        <v>1</v>
      </c>
      <c r="K8" s="9" t="inlineStr">
        <is>
          <t>3 进 1 出 · 3 条路线</t>
        </is>
      </c>
    </row>
    <row r="10">
      <c r="A10" s="10" t="inlineStr">
        <is>
          <t>※ 每局开始时从启用的跑道里随机选一条（游戏里也可以手动指定）。新增跑道：在这里加一行 id，再到「地图」表填坐标。</t>
        </is>
      </c>
    </row>
  </sheetData>
  <dataValidations count="1">
    <dataValidation sqref="B3:B40"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150"/>
  <sheetViews>
    <sheetView workbookViewId="0">
      <pane ySplit="2" topLeftCell="A3" activePane="bottomLeft" state="frozen"/>
      <selection pane="bottomLeft" activeCell="A1" sqref="A1"/>
    </sheetView>
  </sheetViews>
  <sheetFormatPr baseColWidth="8" defaultRowHeight="15"/>
  <cols>
    <col width="10" customWidth="1" min="1" max="1"/>
    <col width="28" customWidth="1" min="2" max="2"/>
    <col width="10" customWidth="1" min="3" max="3"/>
    <col width="8" customWidth="1" min="4" max="4"/>
    <col width="8" customWidth="1" min="5" max="5"/>
    <col width="8" customWidth="1" min="6" max="6"/>
  </cols>
  <sheetData>
    <row r="1" ht="30" customHeight="1">
      <c r="A1" s="4" t="inlineStr">
        <is>
          <t>跑道 id</t>
        </is>
      </c>
      <c r="B1" s="4" t="inlineStr">
        <is>
          <t>类型（path=路线点，pad=空位）</t>
        </is>
      </c>
      <c r="C1" s="4" t="inlineStr">
        <is>
          <t>路线编号</t>
        </is>
      </c>
      <c r="D1" s="4" t="inlineStr">
        <is>
          <t>顺序</t>
        </is>
      </c>
      <c r="E1" s="4" t="inlineStr">
        <is>
          <t>x</t>
        </is>
      </c>
      <c r="F1" s="4" t="inlineStr">
        <is>
          <t>y</t>
        </is>
      </c>
    </row>
    <row r="2">
      <c r="A2" s="5" t="inlineStr">
        <is>
          <t>map</t>
        </is>
      </c>
      <c r="B2" s="5" t="inlineStr">
        <is>
          <t>type</t>
        </is>
      </c>
      <c r="C2" s="5" t="inlineStr">
        <is>
          <t>route</t>
        </is>
      </c>
      <c r="D2" s="5" t="inlineStr">
        <is>
          <t>order</t>
        </is>
      </c>
      <c r="E2" s="5" t="inlineStr">
        <is>
          <t>x</t>
        </is>
      </c>
      <c r="F2" s="5" t="inlineStr">
        <is>
          <t>y</t>
        </is>
      </c>
    </row>
    <row r="3">
      <c r="A3" s="6" t="inlineStr">
        <is>
          <t>classic</t>
        </is>
      </c>
      <c r="B3" s="6" t="inlineStr">
        <is>
          <t>path</t>
        </is>
      </c>
      <c r="C3" s="7" t="n">
        <v>1</v>
      </c>
      <c r="D3" s="7" t="n">
        <v>1</v>
      </c>
      <c r="E3" s="7" t="n">
        <v>-24</v>
      </c>
      <c r="F3" s="7" t="n">
        <v>80</v>
      </c>
    </row>
    <row r="4">
      <c r="A4" s="6" t="inlineStr">
        <is>
          <t>classic</t>
        </is>
      </c>
      <c r="B4" s="6" t="inlineStr">
        <is>
          <t>path</t>
        </is>
      </c>
      <c r="C4" s="7" t="n">
        <v>1</v>
      </c>
      <c r="D4" s="7" t="n">
        <v>2</v>
      </c>
      <c r="E4" s="7" t="n">
        <v>300</v>
      </c>
      <c r="F4" s="7" t="n">
        <v>80</v>
      </c>
    </row>
    <row r="5">
      <c r="A5" s="6" t="inlineStr">
        <is>
          <t>classic</t>
        </is>
      </c>
      <c r="B5" s="6" t="inlineStr">
        <is>
          <t>path</t>
        </is>
      </c>
      <c r="C5" s="7" t="n">
        <v>1</v>
      </c>
      <c r="D5" s="7" t="n">
        <v>3</v>
      </c>
      <c r="E5" s="7" t="n">
        <v>300</v>
      </c>
      <c r="F5" s="7" t="n">
        <v>220</v>
      </c>
    </row>
    <row r="6">
      <c r="A6" s="6" t="inlineStr">
        <is>
          <t>classic</t>
        </is>
      </c>
      <c r="B6" s="6" t="inlineStr">
        <is>
          <t>path</t>
        </is>
      </c>
      <c r="C6" s="7" t="n">
        <v>1</v>
      </c>
      <c r="D6" s="7" t="n">
        <v>4</v>
      </c>
      <c r="E6" s="7" t="n">
        <v>60</v>
      </c>
      <c r="F6" s="7" t="n">
        <v>220</v>
      </c>
    </row>
    <row r="7">
      <c r="A7" s="6" t="inlineStr">
        <is>
          <t>classic</t>
        </is>
      </c>
      <c r="B7" s="6" t="inlineStr">
        <is>
          <t>path</t>
        </is>
      </c>
      <c r="C7" s="7" t="n">
        <v>1</v>
      </c>
      <c r="D7" s="7" t="n">
        <v>5</v>
      </c>
      <c r="E7" s="7" t="n">
        <v>60</v>
      </c>
      <c r="F7" s="7" t="n">
        <v>360</v>
      </c>
    </row>
    <row r="8">
      <c r="A8" s="6" t="inlineStr">
        <is>
          <t>classic</t>
        </is>
      </c>
      <c r="B8" s="6" t="inlineStr">
        <is>
          <t>path</t>
        </is>
      </c>
      <c r="C8" s="7" t="n">
        <v>1</v>
      </c>
      <c r="D8" s="7" t="n">
        <v>6</v>
      </c>
      <c r="E8" s="7" t="n">
        <v>300</v>
      </c>
      <c r="F8" s="7" t="n">
        <v>360</v>
      </c>
    </row>
    <row r="9">
      <c r="A9" s="6" t="inlineStr">
        <is>
          <t>classic</t>
        </is>
      </c>
      <c r="B9" s="6" t="inlineStr">
        <is>
          <t>path</t>
        </is>
      </c>
      <c r="C9" s="7" t="n">
        <v>1</v>
      </c>
      <c r="D9" s="7" t="n">
        <v>7</v>
      </c>
      <c r="E9" s="7" t="n">
        <v>300</v>
      </c>
      <c r="F9" s="7" t="n">
        <v>500</v>
      </c>
    </row>
    <row r="10">
      <c r="A10" s="6" t="inlineStr">
        <is>
          <t>classic</t>
        </is>
      </c>
      <c r="B10" s="6" t="inlineStr">
        <is>
          <t>path</t>
        </is>
      </c>
      <c r="C10" s="7" t="n">
        <v>1</v>
      </c>
      <c r="D10" s="7" t="n">
        <v>8</v>
      </c>
      <c r="E10" s="7" t="n">
        <v>180</v>
      </c>
      <c r="F10" s="7" t="n">
        <v>500</v>
      </c>
    </row>
    <row r="11">
      <c r="A11" s="6" t="inlineStr">
        <is>
          <t>classic</t>
        </is>
      </c>
      <c r="B11" s="6" t="inlineStr">
        <is>
          <t>path</t>
        </is>
      </c>
      <c r="C11" s="7" t="n">
        <v>1</v>
      </c>
      <c r="D11" s="7" t="n">
        <v>9</v>
      </c>
      <c r="E11" s="7" t="n">
        <v>180</v>
      </c>
      <c r="F11" s="7" t="n">
        <v>640</v>
      </c>
    </row>
    <row r="12">
      <c r="A12" s="6" t="inlineStr">
        <is>
          <t>classic</t>
        </is>
      </c>
      <c r="B12" s="6" t="inlineStr">
        <is>
          <t>pad</t>
        </is>
      </c>
      <c r="C12" s="7" t="inlineStr"/>
      <c r="D12" s="7" t="n">
        <v>1</v>
      </c>
      <c r="E12" s="7" t="n">
        <v>40</v>
      </c>
      <c r="F12" s="7" t="n">
        <v>150</v>
      </c>
    </row>
    <row r="13">
      <c r="A13" s="6" t="inlineStr">
        <is>
          <t>classic</t>
        </is>
      </c>
      <c r="B13" s="6" t="inlineStr">
        <is>
          <t>pad</t>
        </is>
      </c>
      <c r="C13" s="7" t="inlineStr"/>
      <c r="D13" s="7" t="n">
        <v>2</v>
      </c>
      <c r="E13" s="7" t="n">
        <v>120</v>
      </c>
      <c r="F13" s="7" t="n">
        <v>150</v>
      </c>
    </row>
    <row r="14">
      <c r="A14" s="6" t="inlineStr">
        <is>
          <t>classic</t>
        </is>
      </c>
      <c r="B14" s="6" t="inlineStr">
        <is>
          <t>pad</t>
        </is>
      </c>
      <c r="C14" s="7" t="inlineStr"/>
      <c r="D14" s="7" t="n">
        <v>3</v>
      </c>
      <c r="E14" s="7" t="n">
        <v>200</v>
      </c>
      <c r="F14" s="7" t="n">
        <v>150</v>
      </c>
    </row>
    <row r="15">
      <c r="A15" s="6" t="inlineStr">
        <is>
          <t>classic</t>
        </is>
      </c>
      <c r="B15" s="6" t="inlineStr">
        <is>
          <t>pad</t>
        </is>
      </c>
      <c r="C15" s="7" t="inlineStr"/>
      <c r="D15" s="7" t="n">
        <v>4</v>
      </c>
      <c r="E15" s="7" t="n">
        <v>250</v>
      </c>
      <c r="F15" s="7" t="n">
        <v>150</v>
      </c>
    </row>
    <row r="16">
      <c r="A16" s="6" t="inlineStr">
        <is>
          <t>classic</t>
        </is>
      </c>
      <c r="B16" s="6" t="inlineStr">
        <is>
          <t>pad</t>
        </is>
      </c>
      <c r="C16" s="7" t="inlineStr"/>
      <c r="D16" s="7" t="n">
        <v>5</v>
      </c>
      <c r="E16" s="7" t="n">
        <v>120</v>
      </c>
      <c r="F16" s="7" t="n">
        <v>290</v>
      </c>
    </row>
    <row r="17">
      <c r="A17" s="6" t="inlineStr">
        <is>
          <t>classic</t>
        </is>
      </c>
      <c r="B17" s="6" t="inlineStr">
        <is>
          <t>pad</t>
        </is>
      </c>
      <c r="C17" s="7" t="inlineStr"/>
      <c r="D17" s="7" t="n">
        <v>6</v>
      </c>
      <c r="E17" s="7" t="n">
        <v>200</v>
      </c>
      <c r="F17" s="7" t="n">
        <v>290</v>
      </c>
    </row>
    <row r="18">
      <c r="A18" s="6" t="inlineStr">
        <is>
          <t>classic</t>
        </is>
      </c>
      <c r="B18" s="6" t="inlineStr">
        <is>
          <t>pad</t>
        </is>
      </c>
      <c r="C18" s="7" t="inlineStr"/>
      <c r="D18" s="7" t="n">
        <v>7</v>
      </c>
      <c r="E18" s="7" t="n">
        <v>260</v>
      </c>
      <c r="F18" s="7" t="n">
        <v>290</v>
      </c>
    </row>
    <row r="19">
      <c r="A19" s="6" t="inlineStr">
        <is>
          <t>classic</t>
        </is>
      </c>
      <c r="B19" s="6" t="inlineStr">
        <is>
          <t>pad</t>
        </is>
      </c>
      <c r="C19" s="7" t="inlineStr"/>
      <c r="D19" s="7" t="n">
        <v>8</v>
      </c>
      <c r="E19" s="7" t="n">
        <v>335</v>
      </c>
      <c r="F19" s="7" t="n">
        <v>290</v>
      </c>
    </row>
    <row r="20">
      <c r="A20" s="6" t="inlineStr">
        <is>
          <t>classic</t>
        </is>
      </c>
      <c r="B20" s="6" t="inlineStr">
        <is>
          <t>pad</t>
        </is>
      </c>
      <c r="C20" s="7" t="inlineStr"/>
      <c r="D20" s="7" t="n">
        <v>9</v>
      </c>
      <c r="E20" s="7" t="n">
        <v>30</v>
      </c>
      <c r="F20" s="7" t="n">
        <v>430</v>
      </c>
    </row>
    <row r="21">
      <c r="A21" s="6" t="inlineStr">
        <is>
          <t>classic</t>
        </is>
      </c>
      <c r="B21" s="6" t="inlineStr">
        <is>
          <t>pad</t>
        </is>
      </c>
      <c r="C21" s="7" t="inlineStr"/>
      <c r="D21" s="7" t="n">
        <v>10</v>
      </c>
      <c r="E21" s="7" t="n">
        <v>110</v>
      </c>
      <c r="F21" s="7" t="n">
        <v>430</v>
      </c>
    </row>
    <row r="22">
      <c r="A22" s="6" t="inlineStr">
        <is>
          <t>classic</t>
        </is>
      </c>
      <c r="B22" s="6" t="inlineStr">
        <is>
          <t>pad</t>
        </is>
      </c>
      <c r="C22" s="7" t="inlineStr"/>
      <c r="D22" s="7" t="n">
        <v>11</v>
      </c>
      <c r="E22" s="7" t="n">
        <v>190</v>
      </c>
      <c r="F22" s="7" t="n">
        <v>430</v>
      </c>
    </row>
    <row r="23">
      <c r="A23" s="6" t="inlineStr">
        <is>
          <t>classic</t>
        </is>
      </c>
      <c r="B23" s="6" t="inlineStr">
        <is>
          <t>pad</t>
        </is>
      </c>
      <c r="C23" s="7" t="inlineStr"/>
      <c r="D23" s="7" t="n">
        <v>12</v>
      </c>
      <c r="E23" s="7" t="n">
        <v>250</v>
      </c>
      <c r="F23" s="7" t="n">
        <v>430</v>
      </c>
    </row>
    <row r="24">
      <c r="A24" s="6" t="inlineStr">
        <is>
          <t>classic</t>
        </is>
      </c>
      <c r="B24" s="6" t="inlineStr">
        <is>
          <t>pad</t>
        </is>
      </c>
      <c r="C24" s="7" t="inlineStr"/>
      <c r="D24" s="7" t="n">
        <v>13</v>
      </c>
      <c r="E24" s="7" t="n">
        <v>100</v>
      </c>
      <c r="F24" s="7" t="n">
        <v>560</v>
      </c>
    </row>
    <row r="25">
      <c r="A25" s="6" t="inlineStr">
        <is>
          <t>classic</t>
        </is>
      </c>
      <c r="B25" s="6" t="inlineStr">
        <is>
          <t>pad</t>
        </is>
      </c>
      <c r="C25" s="7" t="inlineStr"/>
      <c r="D25" s="7" t="n">
        <v>14</v>
      </c>
      <c r="E25" s="7" t="n">
        <v>260</v>
      </c>
      <c r="F25" s="7" t="n">
        <v>560</v>
      </c>
    </row>
    <row r="26">
      <c r="A26" s="6" t="inlineStr">
        <is>
          <t>twin</t>
        </is>
      </c>
      <c r="B26" s="6" t="inlineStr">
        <is>
          <t>path</t>
        </is>
      </c>
      <c r="C26" s="7" t="n">
        <v>1</v>
      </c>
      <c r="D26" s="7" t="n">
        <v>1</v>
      </c>
      <c r="E26" s="7" t="n">
        <v>60</v>
      </c>
      <c r="F26" s="7" t="n">
        <v>-24</v>
      </c>
    </row>
    <row r="27">
      <c r="A27" s="6" t="inlineStr">
        <is>
          <t>twin</t>
        </is>
      </c>
      <c r="B27" s="6" t="inlineStr">
        <is>
          <t>path</t>
        </is>
      </c>
      <c r="C27" s="7" t="n">
        <v>1</v>
      </c>
      <c r="D27" s="7" t="n">
        <v>2</v>
      </c>
      <c r="E27" s="7" t="n">
        <v>60</v>
      </c>
      <c r="F27" s="7" t="n">
        <v>180</v>
      </c>
    </row>
    <row r="28">
      <c r="A28" s="6" t="inlineStr">
        <is>
          <t>twin</t>
        </is>
      </c>
      <c r="B28" s="6" t="inlineStr">
        <is>
          <t>path</t>
        </is>
      </c>
      <c r="C28" s="7" t="n">
        <v>1</v>
      </c>
      <c r="D28" s="7" t="n">
        <v>3</v>
      </c>
      <c r="E28" s="7" t="n">
        <v>140</v>
      </c>
      <c r="F28" s="7" t="n">
        <v>180</v>
      </c>
    </row>
    <row r="29">
      <c r="A29" s="6" t="inlineStr">
        <is>
          <t>twin</t>
        </is>
      </c>
      <c r="B29" s="6" t="inlineStr">
        <is>
          <t>path</t>
        </is>
      </c>
      <c r="C29" s="7" t="n">
        <v>1</v>
      </c>
      <c r="D29" s="7" t="n">
        <v>4</v>
      </c>
      <c r="E29" s="7" t="n">
        <v>140</v>
      </c>
      <c r="F29" s="7" t="n">
        <v>420</v>
      </c>
    </row>
    <row r="30">
      <c r="A30" s="6" t="inlineStr">
        <is>
          <t>twin</t>
        </is>
      </c>
      <c r="B30" s="6" t="inlineStr">
        <is>
          <t>path</t>
        </is>
      </c>
      <c r="C30" s="7" t="n">
        <v>1</v>
      </c>
      <c r="D30" s="7" t="n">
        <v>5</v>
      </c>
      <c r="E30" s="7" t="n">
        <v>60</v>
      </c>
      <c r="F30" s="7" t="n">
        <v>420</v>
      </c>
    </row>
    <row r="31">
      <c r="A31" s="6" t="inlineStr">
        <is>
          <t>twin</t>
        </is>
      </c>
      <c r="B31" s="6" t="inlineStr">
        <is>
          <t>path</t>
        </is>
      </c>
      <c r="C31" s="7" t="n">
        <v>1</v>
      </c>
      <c r="D31" s="7" t="n">
        <v>6</v>
      </c>
      <c r="E31" s="7" t="n">
        <v>60</v>
      </c>
      <c r="F31" s="7" t="n">
        <v>624</v>
      </c>
    </row>
    <row r="32">
      <c r="A32" s="6" t="inlineStr">
        <is>
          <t>twin</t>
        </is>
      </c>
      <c r="B32" s="6" t="inlineStr">
        <is>
          <t>path</t>
        </is>
      </c>
      <c r="C32" s="7" t="n">
        <v>2</v>
      </c>
      <c r="D32" s="7" t="n">
        <v>1</v>
      </c>
      <c r="E32" s="7" t="n">
        <v>300</v>
      </c>
      <c r="F32" s="7" t="n">
        <v>-24</v>
      </c>
    </row>
    <row r="33">
      <c r="A33" s="6" t="inlineStr">
        <is>
          <t>twin</t>
        </is>
      </c>
      <c r="B33" s="6" t="inlineStr">
        <is>
          <t>path</t>
        </is>
      </c>
      <c r="C33" s="7" t="n">
        <v>2</v>
      </c>
      <c r="D33" s="7" t="n">
        <v>2</v>
      </c>
      <c r="E33" s="7" t="n">
        <v>300</v>
      </c>
      <c r="F33" s="7" t="n">
        <v>180</v>
      </c>
    </row>
    <row r="34">
      <c r="A34" s="6" t="inlineStr">
        <is>
          <t>twin</t>
        </is>
      </c>
      <c r="B34" s="6" t="inlineStr">
        <is>
          <t>path</t>
        </is>
      </c>
      <c r="C34" s="7" t="n">
        <v>2</v>
      </c>
      <c r="D34" s="7" t="n">
        <v>3</v>
      </c>
      <c r="E34" s="7" t="n">
        <v>220</v>
      </c>
      <c r="F34" s="7" t="n">
        <v>180</v>
      </c>
    </row>
    <row r="35">
      <c r="A35" s="6" t="inlineStr">
        <is>
          <t>twin</t>
        </is>
      </c>
      <c r="B35" s="6" t="inlineStr">
        <is>
          <t>path</t>
        </is>
      </c>
      <c r="C35" s="7" t="n">
        <v>2</v>
      </c>
      <c r="D35" s="7" t="n">
        <v>4</v>
      </c>
      <c r="E35" s="7" t="n">
        <v>220</v>
      </c>
      <c r="F35" s="7" t="n">
        <v>420</v>
      </c>
    </row>
    <row r="36">
      <c r="A36" s="6" t="inlineStr">
        <is>
          <t>twin</t>
        </is>
      </c>
      <c r="B36" s="6" t="inlineStr">
        <is>
          <t>path</t>
        </is>
      </c>
      <c r="C36" s="7" t="n">
        <v>2</v>
      </c>
      <c r="D36" s="7" t="n">
        <v>5</v>
      </c>
      <c r="E36" s="7" t="n">
        <v>300</v>
      </c>
      <c r="F36" s="7" t="n">
        <v>420</v>
      </c>
    </row>
    <row r="37">
      <c r="A37" s="6" t="inlineStr">
        <is>
          <t>twin</t>
        </is>
      </c>
      <c r="B37" s="6" t="inlineStr">
        <is>
          <t>path</t>
        </is>
      </c>
      <c r="C37" s="7" t="n">
        <v>2</v>
      </c>
      <c r="D37" s="7" t="n">
        <v>6</v>
      </c>
      <c r="E37" s="7" t="n">
        <v>300</v>
      </c>
      <c r="F37" s="7" t="n">
        <v>624</v>
      </c>
    </row>
    <row r="38">
      <c r="A38" s="6" t="inlineStr">
        <is>
          <t>twin</t>
        </is>
      </c>
      <c r="B38" s="6" t="inlineStr">
        <is>
          <t>pad</t>
        </is>
      </c>
      <c r="C38" s="7" t="inlineStr"/>
      <c r="D38" s="7" t="n">
        <v>1</v>
      </c>
      <c r="E38" s="7" t="n">
        <v>180</v>
      </c>
      <c r="F38" s="7" t="n">
        <v>100</v>
      </c>
    </row>
    <row r="39">
      <c r="A39" s="6" t="inlineStr">
        <is>
          <t>twin</t>
        </is>
      </c>
      <c r="B39" s="6" t="inlineStr">
        <is>
          <t>pad</t>
        </is>
      </c>
      <c r="C39" s="7" t="inlineStr"/>
      <c r="D39" s="7" t="n">
        <v>2</v>
      </c>
      <c r="E39" s="7" t="n">
        <v>100</v>
      </c>
      <c r="F39" s="7" t="n">
        <v>100</v>
      </c>
    </row>
    <row r="40">
      <c r="A40" s="6" t="inlineStr">
        <is>
          <t>twin</t>
        </is>
      </c>
      <c r="B40" s="6" t="inlineStr">
        <is>
          <t>pad</t>
        </is>
      </c>
      <c r="C40" s="7" t="inlineStr"/>
      <c r="D40" s="7" t="n">
        <v>3</v>
      </c>
      <c r="E40" s="7" t="n">
        <v>260</v>
      </c>
      <c r="F40" s="7" t="n">
        <v>100</v>
      </c>
    </row>
    <row r="41">
      <c r="A41" s="6" t="inlineStr">
        <is>
          <t>twin</t>
        </is>
      </c>
      <c r="B41" s="6" t="inlineStr">
        <is>
          <t>pad</t>
        </is>
      </c>
      <c r="C41" s="7" t="inlineStr"/>
      <c r="D41" s="7" t="n">
        <v>4</v>
      </c>
      <c r="E41" s="7" t="n">
        <v>180</v>
      </c>
      <c r="F41" s="7" t="n">
        <v>230</v>
      </c>
    </row>
    <row r="42">
      <c r="A42" s="6" t="inlineStr">
        <is>
          <t>twin</t>
        </is>
      </c>
      <c r="B42" s="6" t="inlineStr">
        <is>
          <t>pad</t>
        </is>
      </c>
      <c r="C42" s="7" t="inlineStr"/>
      <c r="D42" s="7" t="n">
        <v>5</v>
      </c>
      <c r="E42" s="7" t="n">
        <v>180</v>
      </c>
      <c r="F42" s="7" t="n">
        <v>300</v>
      </c>
    </row>
    <row r="43">
      <c r="A43" s="6" t="inlineStr">
        <is>
          <t>twin</t>
        </is>
      </c>
      <c r="B43" s="6" t="inlineStr">
        <is>
          <t>pad</t>
        </is>
      </c>
      <c r="C43" s="7" t="inlineStr"/>
      <c r="D43" s="7" t="n">
        <v>6</v>
      </c>
      <c r="E43" s="7" t="n">
        <v>180</v>
      </c>
      <c r="F43" s="7" t="n">
        <v>370</v>
      </c>
    </row>
    <row r="44">
      <c r="A44" s="6" t="inlineStr">
        <is>
          <t>twin</t>
        </is>
      </c>
      <c r="B44" s="6" t="inlineStr">
        <is>
          <t>pad</t>
        </is>
      </c>
      <c r="C44" s="7" t="inlineStr"/>
      <c r="D44" s="7" t="n">
        <v>7</v>
      </c>
      <c r="E44" s="7" t="n">
        <v>100</v>
      </c>
      <c r="F44" s="7" t="n">
        <v>300</v>
      </c>
    </row>
    <row r="45">
      <c r="A45" s="6" t="inlineStr">
        <is>
          <t>twin</t>
        </is>
      </c>
      <c r="B45" s="6" t="inlineStr">
        <is>
          <t>pad</t>
        </is>
      </c>
      <c r="C45" s="7" t="inlineStr"/>
      <c r="D45" s="7" t="n">
        <v>8</v>
      </c>
      <c r="E45" s="7" t="n">
        <v>260</v>
      </c>
      <c r="F45" s="7" t="n">
        <v>300</v>
      </c>
    </row>
    <row r="46">
      <c r="A46" s="6" t="inlineStr">
        <is>
          <t>twin</t>
        </is>
      </c>
      <c r="B46" s="6" t="inlineStr">
        <is>
          <t>pad</t>
        </is>
      </c>
      <c r="C46" s="7" t="inlineStr"/>
      <c r="D46" s="7" t="n">
        <v>9</v>
      </c>
      <c r="E46" s="7" t="n">
        <v>20</v>
      </c>
      <c r="F46" s="7" t="n">
        <v>300</v>
      </c>
    </row>
    <row r="47">
      <c r="A47" s="6" t="inlineStr">
        <is>
          <t>twin</t>
        </is>
      </c>
      <c r="B47" s="6" t="inlineStr">
        <is>
          <t>pad</t>
        </is>
      </c>
      <c r="C47" s="7" t="inlineStr"/>
      <c r="D47" s="7" t="n">
        <v>10</v>
      </c>
      <c r="E47" s="7" t="n">
        <v>340</v>
      </c>
      <c r="F47" s="7" t="n">
        <v>300</v>
      </c>
    </row>
    <row r="48">
      <c r="A48" s="6" t="inlineStr">
        <is>
          <t>twin</t>
        </is>
      </c>
      <c r="B48" s="6" t="inlineStr">
        <is>
          <t>pad</t>
        </is>
      </c>
      <c r="C48" s="7" t="inlineStr"/>
      <c r="D48" s="7" t="n">
        <v>11</v>
      </c>
      <c r="E48" s="7" t="n">
        <v>100</v>
      </c>
      <c r="F48" s="7" t="n">
        <v>500</v>
      </c>
    </row>
    <row r="49">
      <c r="A49" s="6" t="inlineStr">
        <is>
          <t>twin</t>
        </is>
      </c>
      <c r="B49" s="6" t="inlineStr">
        <is>
          <t>pad</t>
        </is>
      </c>
      <c r="C49" s="7" t="inlineStr"/>
      <c r="D49" s="7" t="n">
        <v>12</v>
      </c>
      <c r="E49" s="7" t="n">
        <v>180</v>
      </c>
      <c r="F49" s="7" t="n">
        <v>500</v>
      </c>
    </row>
    <row r="50">
      <c r="A50" s="6" t="inlineStr">
        <is>
          <t>twin</t>
        </is>
      </c>
      <c r="B50" s="6" t="inlineStr">
        <is>
          <t>pad</t>
        </is>
      </c>
      <c r="C50" s="7" t="inlineStr"/>
      <c r="D50" s="7" t="n">
        <v>13</v>
      </c>
      <c r="E50" s="7" t="n">
        <v>260</v>
      </c>
      <c r="F50" s="7" t="n">
        <v>500</v>
      </c>
    </row>
    <row r="51">
      <c r="A51" s="6" t="inlineStr">
        <is>
          <t>fork</t>
        </is>
      </c>
      <c r="B51" s="6" t="inlineStr">
        <is>
          <t>path</t>
        </is>
      </c>
      <c r="C51" s="7" t="n">
        <v>1</v>
      </c>
      <c r="D51" s="7" t="n">
        <v>1</v>
      </c>
      <c r="E51" s="7" t="n">
        <v>180</v>
      </c>
      <c r="F51" s="7" t="n">
        <v>-24</v>
      </c>
    </row>
    <row r="52">
      <c r="A52" s="6" t="inlineStr">
        <is>
          <t>fork</t>
        </is>
      </c>
      <c r="B52" s="6" t="inlineStr">
        <is>
          <t>path</t>
        </is>
      </c>
      <c r="C52" s="7" t="n">
        <v>1</v>
      </c>
      <c r="D52" s="7" t="n">
        <v>2</v>
      </c>
      <c r="E52" s="7" t="n">
        <v>180</v>
      </c>
      <c r="F52" s="7" t="n">
        <v>180</v>
      </c>
    </row>
    <row r="53">
      <c r="A53" s="6" t="inlineStr">
        <is>
          <t>fork</t>
        </is>
      </c>
      <c r="B53" s="6" t="inlineStr">
        <is>
          <t>path</t>
        </is>
      </c>
      <c r="C53" s="7" t="n">
        <v>1</v>
      </c>
      <c r="D53" s="7" t="n">
        <v>3</v>
      </c>
      <c r="E53" s="7" t="n">
        <v>60</v>
      </c>
      <c r="F53" s="7" t="n">
        <v>180</v>
      </c>
    </row>
    <row r="54">
      <c r="A54" s="6" t="inlineStr">
        <is>
          <t>fork</t>
        </is>
      </c>
      <c r="B54" s="6" t="inlineStr">
        <is>
          <t>path</t>
        </is>
      </c>
      <c r="C54" s="7" t="n">
        <v>1</v>
      </c>
      <c r="D54" s="7" t="n">
        <v>4</v>
      </c>
      <c r="E54" s="7" t="n">
        <v>60</v>
      </c>
      <c r="F54" s="7" t="n">
        <v>400</v>
      </c>
    </row>
    <row r="55">
      <c r="A55" s="6" t="inlineStr">
        <is>
          <t>fork</t>
        </is>
      </c>
      <c r="B55" s="6" t="inlineStr">
        <is>
          <t>path</t>
        </is>
      </c>
      <c r="C55" s="7" t="n">
        <v>1</v>
      </c>
      <c r="D55" s="7" t="n">
        <v>5</v>
      </c>
      <c r="E55" s="7" t="n">
        <v>140</v>
      </c>
      <c r="F55" s="7" t="n">
        <v>400</v>
      </c>
    </row>
    <row r="56">
      <c r="A56" s="6" t="inlineStr">
        <is>
          <t>fork</t>
        </is>
      </c>
      <c r="B56" s="6" t="inlineStr">
        <is>
          <t>path</t>
        </is>
      </c>
      <c r="C56" s="7" t="n">
        <v>1</v>
      </c>
      <c r="D56" s="7" t="n">
        <v>6</v>
      </c>
      <c r="E56" s="7" t="n">
        <v>140</v>
      </c>
      <c r="F56" s="7" t="n">
        <v>624</v>
      </c>
    </row>
    <row r="57">
      <c r="A57" s="6" t="inlineStr">
        <is>
          <t>fork</t>
        </is>
      </c>
      <c r="B57" s="6" t="inlineStr">
        <is>
          <t>path</t>
        </is>
      </c>
      <c r="C57" s="7" t="n">
        <v>2</v>
      </c>
      <c r="D57" s="7" t="n">
        <v>1</v>
      </c>
      <c r="E57" s="7" t="n">
        <v>180</v>
      </c>
      <c r="F57" s="7" t="n">
        <v>-24</v>
      </c>
    </row>
    <row r="58">
      <c r="A58" s="6" t="inlineStr">
        <is>
          <t>fork</t>
        </is>
      </c>
      <c r="B58" s="6" t="inlineStr">
        <is>
          <t>path</t>
        </is>
      </c>
      <c r="C58" s="7" t="n">
        <v>2</v>
      </c>
      <c r="D58" s="7" t="n">
        <v>2</v>
      </c>
      <c r="E58" s="7" t="n">
        <v>180</v>
      </c>
      <c r="F58" s="7" t="n">
        <v>180</v>
      </c>
    </row>
    <row r="59">
      <c r="A59" s="6" t="inlineStr">
        <is>
          <t>fork</t>
        </is>
      </c>
      <c r="B59" s="6" t="inlineStr">
        <is>
          <t>path</t>
        </is>
      </c>
      <c r="C59" s="7" t="n">
        <v>2</v>
      </c>
      <c r="D59" s="7" t="n">
        <v>3</v>
      </c>
      <c r="E59" s="7" t="n">
        <v>300</v>
      </c>
      <c r="F59" s="7" t="n">
        <v>180</v>
      </c>
    </row>
    <row r="60">
      <c r="A60" s="6" t="inlineStr">
        <is>
          <t>fork</t>
        </is>
      </c>
      <c r="B60" s="6" t="inlineStr">
        <is>
          <t>path</t>
        </is>
      </c>
      <c r="C60" s="7" t="n">
        <v>2</v>
      </c>
      <c r="D60" s="7" t="n">
        <v>4</v>
      </c>
      <c r="E60" s="7" t="n">
        <v>300</v>
      </c>
      <c r="F60" s="7" t="n">
        <v>400</v>
      </c>
    </row>
    <row r="61">
      <c r="A61" s="6" t="inlineStr">
        <is>
          <t>fork</t>
        </is>
      </c>
      <c r="B61" s="6" t="inlineStr">
        <is>
          <t>path</t>
        </is>
      </c>
      <c r="C61" s="7" t="n">
        <v>2</v>
      </c>
      <c r="D61" s="7" t="n">
        <v>5</v>
      </c>
      <c r="E61" s="7" t="n">
        <v>220</v>
      </c>
      <c r="F61" s="7" t="n">
        <v>400</v>
      </c>
    </row>
    <row r="62">
      <c r="A62" s="6" t="inlineStr">
        <is>
          <t>fork</t>
        </is>
      </c>
      <c r="B62" s="6" t="inlineStr">
        <is>
          <t>path</t>
        </is>
      </c>
      <c r="C62" s="7" t="n">
        <v>2</v>
      </c>
      <c r="D62" s="7" t="n">
        <v>6</v>
      </c>
      <c r="E62" s="7" t="n">
        <v>220</v>
      </c>
      <c r="F62" s="7" t="n">
        <v>624</v>
      </c>
    </row>
    <row r="63">
      <c r="A63" s="6" t="inlineStr">
        <is>
          <t>fork</t>
        </is>
      </c>
      <c r="B63" s="6" t="inlineStr">
        <is>
          <t>pad</t>
        </is>
      </c>
      <c r="C63" s="7" t="inlineStr"/>
      <c r="D63" s="7" t="n">
        <v>1</v>
      </c>
      <c r="E63" s="7" t="n">
        <v>100</v>
      </c>
      <c r="F63" s="7" t="n">
        <v>100</v>
      </c>
    </row>
    <row r="64">
      <c r="A64" s="6" t="inlineStr">
        <is>
          <t>fork</t>
        </is>
      </c>
      <c r="B64" s="6" t="inlineStr">
        <is>
          <t>pad</t>
        </is>
      </c>
      <c r="C64" s="7" t="inlineStr"/>
      <c r="D64" s="7" t="n">
        <v>2</v>
      </c>
      <c r="E64" s="7" t="n">
        <v>260</v>
      </c>
      <c r="F64" s="7" t="n">
        <v>100</v>
      </c>
    </row>
    <row r="65">
      <c r="A65" s="6" t="inlineStr">
        <is>
          <t>fork</t>
        </is>
      </c>
      <c r="B65" s="6" t="inlineStr">
        <is>
          <t>pad</t>
        </is>
      </c>
      <c r="C65" s="7" t="inlineStr"/>
      <c r="D65" s="7" t="n">
        <v>3</v>
      </c>
      <c r="E65" s="7" t="n">
        <v>20</v>
      </c>
      <c r="F65" s="7" t="n">
        <v>100</v>
      </c>
    </row>
    <row r="66">
      <c r="A66" s="6" t="inlineStr">
        <is>
          <t>fork</t>
        </is>
      </c>
      <c r="B66" s="6" t="inlineStr">
        <is>
          <t>pad</t>
        </is>
      </c>
      <c r="C66" s="7" t="inlineStr"/>
      <c r="D66" s="7" t="n">
        <v>4</v>
      </c>
      <c r="E66" s="7" t="n">
        <v>340</v>
      </c>
      <c r="F66" s="7" t="n">
        <v>100</v>
      </c>
    </row>
    <row r="67">
      <c r="A67" s="6" t="inlineStr">
        <is>
          <t>fork</t>
        </is>
      </c>
      <c r="B67" s="6" t="inlineStr">
        <is>
          <t>pad</t>
        </is>
      </c>
      <c r="C67" s="7" t="inlineStr"/>
      <c r="D67" s="7" t="n">
        <v>5</v>
      </c>
      <c r="E67" s="7" t="n">
        <v>180</v>
      </c>
      <c r="F67" s="7" t="n">
        <v>260</v>
      </c>
    </row>
    <row r="68">
      <c r="A68" s="6" t="inlineStr">
        <is>
          <t>fork</t>
        </is>
      </c>
      <c r="B68" s="6" t="inlineStr">
        <is>
          <t>pad</t>
        </is>
      </c>
      <c r="C68" s="7" t="inlineStr"/>
      <c r="D68" s="7" t="n">
        <v>6</v>
      </c>
      <c r="E68" s="7" t="n">
        <v>180</v>
      </c>
      <c r="F68" s="7" t="n">
        <v>330</v>
      </c>
    </row>
    <row r="69">
      <c r="A69" s="6" t="inlineStr">
        <is>
          <t>fork</t>
        </is>
      </c>
      <c r="B69" s="6" t="inlineStr">
        <is>
          <t>pad</t>
        </is>
      </c>
      <c r="C69" s="7" t="inlineStr"/>
      <c r="D69" s="7" t="n">
        <v>7</v>
      </c>
      <c r="E69" s="7" t="n">
        <v>100</v>
      </c>
      <c r="F69" s="7" t="n">
        <v>290</v>
      </c>
    </row>
    <row r="70">
      <c r="A70" s="6" t="inlineStr">
        <is>
          <t>fork</t>
        </is>
      </c>
      <c r="B70" s="6" t="inlineStr">
        <is>
          <t>pad</t>
        </is>
      </c>
      <c r="C70" s="7" t="inlineStr"/>
      <c r="D70" s="7" t="n">
        <v>8</v>
      </c>
      <c r="E70" s="7" t="n">
        <v>260</v>
      </c>
      <c r="F70" s="7" t="n">
        <v>290</v>
      </c>
    </row>
    <row r="71">
      <c r="A71" s="6" t="inlineStr">
        <is>
          <t>fork</t>
        </is>
      </c>
      <c r="B71" s="6" t="inlineStr">
        <is>
          <t>pad</t>
        </is>
      </c>
      <c r="C71" s="7" t="inlineStr"/>
      <c r="D71" s="7" t="n">
        <v>9</v>
      </c>
      <c r="E71" s="7" t="n">
        <v>180</v>
      </c>
      <c r="F71" s="7" t="n">
        <v>480</v>
      </c>
    </row>
    <row r="72">
      <c r="A72" s="6" t="inlineStr">
        <is>
          <t>fork</t>
        </is>
      </c>
      <c r="B72" s="6" t="inlineStr">
        <is>
          <t>pad</t>
        </is>
      </c>
      <c r="C72" s="7" t="inlineStr"/>
      <c r="D72" s="7" t="n">
        <v>10</v>
      </c>
      <c r="E72" s="7" t="n">
        <v>60</v>
      </c>
      <c r="F72" s="7" t="n">
        <v>500</v>
      </c>
    </row>
    <row r="73">
      <c r="A73" s="6" t="inlineStr">
        <is>
          <t>fork</t>
        </is>
      </c>
      <c r="B73" s="6" t="inlineStr">
        <is>
          <t>pad</t>
        </is>
      </c>
      <c r="C73" s="7" t="inlineStr"/>
      <c r="D73" s="7" t="n">
        <v>11</v>
      </c>
      <c r="E73" s="7" t="n">
        <v>300</v>
      </c>
      <c r="F73" s="7" t="n">
        <v>500</v>
      </c>
    </row>
    <row r="74">
      <c r="A74" s="6" t="inlineStr">
        <is>
          <t>fork</t>
        </is>
      </c>
      <c r="B74" s="6" t="inlineStr">
        <is>
          <t>pad</t>
        </is>
      </c>
      <c r="C74" s="7" t="inlineStr"/>
      <c r="D74" s="7" t="n">
        <v>12</v>
      </c>
      <c r="E74" s="7" t="n">
        <v>180</v>
      </c>
      <c r="F74" s="7" t="n">
        <v>560</v>
      </c>
    </row>
    <row r="75">
      <c r="A75" s="6" t="inlineStr">
        <is>
          <t>merge</t>
        </is>
      </c>
      <c r="B75" s="6" t="inlineStr">
        <is>
          <t>path</t>
        </is>
      </c>
      <c r="C75" s="7" t="n">
        <v>1</v>
      </c>
      <c r="D75" s="7" t="n">
        <v>1</v>
      </c>
      <c r="E75" s="7" t="n">
        <v>-24</v>
      </c>
      <c r="F75" s="7" t="n">
        <v>100</v>
      </c>
    </row>
    <row r="76">
      <c r="A76" s="6" t="inlineStr">
        <is>
          <t>merge</t>
        </is>
      </c>
      <c r="B76" s="6" t="inlineStr">
        <is>
          <t>path</t>
        </is>
      </c>
      <c r="C76" s="7" t="n">
        <v>1</v>
      </c>
      <c r="D76" s="7" t="n">
        <v>2</v>
      </c>
      <c r="E76" s="7" t="n">
        <v>120</v>
      </c>
      <c r="F76" s="7" t="n">
        <v>100</v>
      </c>
    </row>
    <row r="77">
      <c r="A77" s="6" t="inlineStr">
        <is>
          <t>merge</t>
        </is>
      </c>
      <c r="B77" s="6" t="inlineStr">
        <is>
          <t>path</t>
        </is>
      </c>
      <c r="C77" s="7" t="n">
        <v>1</v>
      </c>
      <c r="D77" s="7" t="n">
        <v>3</v>
      </c>
      <c r="E77" s="7" t="n">
        <v>120</v>
      </c>
      <c r="F77" s="7" t="n">
        <v>300</v>
      </c>
    </row>
    <row r="78">
      <c r="A78" s="6" t="inlineStr">
        <is>
          <t>merge</t>
        </is>
      </c>
      <c r="B78" s="6" t="inlineStr">
        <is>
          <t>path</t>
        </is>
      </c>
      <c r="C78" s="7" t="n">
        <v>1</v>
      </c>
      <c r="D78" s="7" t="n">
        <v>4</v>
      </c>
      <c r="E78" s="7" t="n">
        <v>180</v>
      </c>
      <c r="F78" s="7" t="n">
        <v>300</v>
      </c>
    </row>
    <row r="79">
      <c r="A79" s="6" t="inlineStr">
        <is>
          <t>merge</t>
        </is>
      </c>
      <c r="B79" s="6" t="inlineStr">
        <is>
          <t>path</t>
        </is>
      </c>
      <c r="C79" s="7" t="n">
        <v>1</v>
      </c>
      <c r="D79" s="7" t="n">
        <v>5</v>
      </c>
      <c r="E79" s="7" t="n">
        <v>180</v>
      </c>
      <c r="F79" s="7" t="n">
        <v>380</v>
      </c>
    </row>
    <row r="80">
      <c r="A80" s="6" t="inlineStr">
        <is>
          <t>merge</t>
        </is>
      </c>
      <c r="B80" s="6" t="inlineStr">
        <is>
          <t>path</t>
        </is>
      </c>
      <c r="C80" s="7" t="n">
        <v>1</v>
      </c>
      <c r="D80" s="7" t="n">
        <v>6</v>
      </c>
      <c r="E80" s="7" t="n">
        <v>60</v>
      </c>
      <c r="F80" s="7" t="n">
        <v>380</v>
      </c>
    </row>
    <row r="81">
      <c r="A81" s="6" t="inlineStr">
        <is>
          <t>merge</t>
        </is>
      </c>
      <c r="B81" s="6" t="inlineStr">
        <is>
          <t>path</t>
        </is>
      </c>
      <c r="C81" s="7" t="n">
        <v>1</v>
      </c>
      <c r="D81" s="7" t="n">
        <v>7</v>
      </c>
      <c r="E81" s="7" t="n">
        <v>60</v>
      </c>
      <c r="F81" s="7" t="n">
        <v>500</v>
      </c>
    </row>
    <row r="82">
      <c r="A82" s="6" t="inlineStr">
        <is>
          <t>merge</t>
        </is>
      </c>
      <c r="B82" s="6" t="inlineStr">
        <is>
          <t>path</t>
        </is>
      </c>
      <c r="C82" s="7" t="n">
        <v>1</v>
      </c>
      <c r="D82" s="7" t="n">
        <v>8</v>
      </c>
      <c r="E82" s="7" t="n">
        <v>300</v>
      </c>
      <c r="F82" s="7" t="n">
        <v>500</v>
      </c>
    </row>
    <row r="83">
      <c r="A83" s="6" t="inlineStr">
        <is>
          <t>merge</t>
        </is>
      </c>
      <c r="B83" s="6" t="inlineStr">
        <is>
          <t>path</t>
        </is>
      </c>
      <c r="C83" s="7" t="n">
        <v>1</v>
      </c>
      <c r="D83" s="7" t="n">
        <v>9</v>
      </c>
      <c r="E83" s="7" t="n">
        <v>300</v>
      </c>
      <c r="F83" s="7" t="n">
        <v>624</v>
      </c>
    </row>
    <row r="84">
      <c r="A84" s="6" t="inlineStr">
        <is>
          <t>merge</t>
        </is>
      </c>
      <c r="B84" s="6" t="inlineStr">
        <is>
          <t>path</t>
        </is>
      </c>
      <c r="C84" s="7" t="n">
        <v>2</v>
      </c>
      <c r="D84" s="7" t="n">
        <v>1</v>
      </c>
      <c r="E84" s="7" t="n">
        <v>384</v>
      </c>
      <c r="F84" s="7" t="n">
        <v>100</v>
      </c>
    </row>
    <row r="85">
      <c r="A85" s="6" t="inlineStr">
        <is>
          <t>merge</t>
        </is>
      </c>
      <c r="B85" s="6" t="inlineStr">
        <is>
          <t>path</t>
        </is>
      </c>
      <c r="C85" s="7" t="n">
        <v>2</v>
      </c>
      <c r="D85" s="7" t="n">
        <v>2</v>
      </c>
      <c r="E85" s="7" t="n">
        <v>240</v>
      </c>
      <c r="F85" s="7" t="n">
        <v>100</v>
      </c>
    </row>
    <row r="86">
      <c r="A86" s="6" t="inlineStr">
        <is>
          <t>merge</t>
        </is>
      </c>
      <c r="B86" s="6" t="inlineStr">
        <is>
          <t>path</t>
        </is>
      </c>
      <c r="C86" s="7" t="n">
        <v>2</v>
      </c>
      <c r="D86" s="7" t="n">
        <v>3</v>
      </c>
      <c r="E86" s="7" t="n">
        <v>240</v>
      </c>
      <c r="F86" s="7" t="n">
        <v>300</v>
      </c>
    </row>
    <row r="87">
      <c r="A87" s="6" t="inlineStr">
        <is>
          <t>merge</t>
        </is>
      </c>
      <c r="B87" s="6" t="inlineStr">
        <is>
          <t>path</t>
        </is>
      </c>
      <c r="C87" s="7" t="n">
        <v>2</v>
      </c>
      <c r="D87" s="7" t="n">
        <v>4</v>
      </c>
      <c r="E87" s="7" t="n">
        <v>180</v>
      </c>
      <c r="F87" s="7" t="n">
        <v>300</v>
      </c>
    </row>
    <row r="88">
      <c r="A88" s="6" t="inlineStr">
        <is>
          <t>merge</t>
        </is>
      </c>
      <c r="B88" s="6" t="inlineStr">
        <is>
          <t>path</t>
        </is>
      </c>
      <c r="C88" s="7" t="n">
        <v>2</v>
      </c>
      <c r="D88" s="7" t="n">
        <v>5</v>
      </c>
      <c r="E88" s="7" t="n">
        <v>180</v>
      </c>
      <c r="F88" s="7" t="n">
        <v>380</v>
      </c>
    </row>
    <row r="89">
      <c r="A89" s="6" t="inlineStr">
        <is>
          <t>merge</t>
        </is>
      </c>
      <c r="B89" s="6" t="inlineStr">
        <is>
          <t>path</t>
        </is>
      </c>
      <c r="C89" s="7" t="n">
        <v>2</v>
      </c>
      <c r="D89" s="7" t="n">
        <v>6</v>
      </c>
      <c r="E89" s="7" t="n">
        <v>60</v>
      </c>
      <c r="F89" s="7" t="n">
        <v>380</v>
      </c>
    </row>
    <row r="90">
      <c r="A90" s="6" t="inlineStr">
        <is>
          <t>merge</t>
        </is>
      </c>
      <c r="B90" s="6" t="inlineStr">
        <is>
          <t>path</t>
        </is>
      </c>
      <c r="C90" s="7" t="n">
        <v>2</v>
      </c>
      <c r="D90" s="7" t="n">
        <v>7</v>
      </c>
      <c r="E90" s="7" t="n">
        <v>60</v>
      </c>
      <c r="F90" s="7" t="n">
        <v>500</v>
      </c>
    </row>
    <row r="91">
      <c r="A91" s="6" t="inlineStr">
        <is>
          <t>merge</t>
        </is>
      </c>
      <c r="B91" s="6" t="inlineStr">
        <is>
          <t>path</t>
        </is>
      </c>
      <c r="C91" s="7" t="n">
        <v>2</v>
      </c>
      <c r="D91" s="7" t="n">
        <v>8</v>
      </c>
      <c r="E91" s="7" t="n">
        <v>300</v>
      </c>
      <c r="F91" s="7" t="n">
        <v>500</v>
      </c>
    </row>
    <row r="92">
      <c r="A92" s="6" t="inlineStr">
        <is>
          <t>merge</t>
        </is>
      </c>
      <c r="B92" s="6" t="inlineStr">
        <is>
          <t>path</t>
        </is>
      </c>
      <c r="C92" s="7" t="n">
        <v>2</v>
      </c>
      <c r="D92" s="7" t="n">
        <v>9</v>
      </c>
      <c r="E92" s="7" t="n">
        <v>300</v>
      </c>
      <c r="F92" s="7" t="n">
        <v>624</v>
      </c>
    </row>
    <row r="93">
      <c r="A93" s="6" t="inlineStr">
        <is>
          <t>merge</t>
        </is>
      </c>
      <c r="B93" s="6" t="inlineStr">
        <is>
          <t>pad</t>
        </is>
      </c>
      <c r="C93" s="7" t="inlineStr"/>
      <c r="D93" s="7" t="n">
        <v>1</v>
      </c>
      <c r="E93" s="7" t="n">
        <v>60</v>
      </c>
      <c r="F93" s="7" t="n">
        <v>200</v>
      </c>
    </row>
    <row r="94">
      <c r="A94" s="6" t="inlineStr">
        <is>
          <t>merge</t>
        </is>
      </c>
      <c r="B94" s="6" t="inlineStr">
        <is>
          <t>pad</t>
        </is>
      </c>
      <c r="C94" s="7" t="inlineStr"/>
      <c r="D94" s="7" t="n">
        <v>2</v>
      </c>
      <c r="E94" s="7" t="n">
        <v>300</v>
      </c>
      <c r="F94" s="7" t="n">
        <v>200</v>
      </c>
    </row>
    <row r="95">
      <c r="A95" s="6" t="inlineStr">
        <is>
          <t>merge</t>
        </is>
      </c>
      <c r="B95" s="6" t="inlineStr">
        <is>
          <t>pad</t>
        </is>
      </c>
      <c r="C95" s="7" t="inlineStr"/>
      <c r="D95" s="7" t="n">
        <v>3</v>
      </c>
      <c r="E95" s="7" t="n">
        <v>180</v>
      </c>
      <c r="F95" s="7" t="n">
        <v>200</v>
      </c>
    </row>
    <row r="96">
      <c r="A96" s="6" t="inlineStr">
        <is>
          <t>merge</t>
        </is>
      </c>
      <c r="B96" s="6" t="inlineStr">
        <is>
          <t>pad</t>
        </is>
      </c>
      <c r="C96" s="7" t="inlineStr"/>
      <c r="D96" s="7" t="n">
        <v>4</v>
      </c>
      <c r="E96" s="7" t="n">
        <v>180</v>
      </c>
      <c r="F96" s="7" t="n">
        <v>40</v>
      </c>
    </row>
    <row r="97">
      <c r="A97" s="6" t="inlineStr">
        <is>
          <t>merge</t>
        </is>
      </c>
      <c r="B97" s="6" t="inlineStr">
        <is>
          <t>pad</t>
        </is>
      </c>
      <c r="C97" s="7" t="inlineStr"/>
      <c r="D97" s="7" t="n">
        <v>5</v>
      </c>
      <c r="E97" s="7" t="n">
        <v>40</v>
      </c>
      <c r="F97" s="7" t="n">
        <v>40</v>
      </c>
    </row>
    <row r="98">
      <c r="A98" s="6" t="inlineStr">
        <is>
          <t>merge</t>
        </is>
      </c>
      <c r="B98" s="6" t="inlineStr">
        <is>
          <t>pad</t>
        </is>
      </c>
      <c r="C98" s="7" t="inlineStr"/>
      <c r="D98" s="7" t="n">
        <v>6</v>
      </c>
      <c r="E98" s="7" t="n">
        <v>320</v>
      </c>
      <c r="F98" s="7" t="n">
        <v>40</v>
      </c>
    </row>
    <row r="99">
      <c r="A99" s="6" t="inlineStr">
        <is>
          <t>merge</t>
        </is>
      </c>
      <c r="B99" s="6" t="inlineStr">
        <is>
          <t>pad</t>
        </is>
      </c>
      <c r="C99" s="7" t="inlineStr"/>
      <c r="D99" s="7" t="n">
        <v>7</v>
      </c>
      <c r="E99" s="7" t="n">
        <v>120</v>
      </c>
      <c r="F99" s="7" t="n">
        <v>440</v>
      </c>
    </row>
    <row r="100">
      <c r="A100" s="6" t="inlineStr">
        <is>
          <t>merge</t>
        </is>
      </c>
      <c r="B100" s="6" t="inlineStr">
        <is>
          <t>pad</t>
        </is>
      </c>
      <c r="C100" s="7" t="inlineStr"/>
      <c r="D100" s="7" t="n">
        <v>8</v>
      </c>
      <c r="E100" s="7" t="n">
        <v>240</v>
      </c>
      <c r="F100" s="7" t="n">
        <v>440</v>
      </c>
    </row>
    <row r="101">
      <c r="A101" s="6" t="inlineStr">
        <is>
          <t>merge</t>
        </is>
      </c>
      <c r="B101" s="6" t="inlineStr">
        <is>
          <t>pad</t>
        </is>
      </c>
      <c r="C101" s="7" t="inlineStr"/>
      <c r="D101" s="7" t="n">
        <v>9</v>
      </c>
      <c r="E101" s="7" t="n">
        <v>60</v>
      </c>
      <c r="F101" s="7" t="n">
        <v>300</v>
      </c>
    </row>
    <row r="102">
      <c r="A102" s="6" t="inlineStr">
        <is>
          <t>merge</t>
        </is>
      </c>
      <c r="B102" s="6" t="inlineStr">
        <is>
          <t>pad</t>
        </is>
      </c>
      <c r="C102" s="7" t="inlineStr"/>
      <c r="D102" s="7" t="n">
        <v>10</v>
      </c>
      <c r="E102" s="7" t="n">
        <v>300</v>
      </c>
      <c r="F102" s="7" t="n">
        <v>300</v>
      </c>
    </row>
    <row r="103">
      <c r="A103" s="6" t="inlineStr">
        <is>
          <t>merge</t>
        </is>
      </c>
      <c r="B103" s="6" t="inlineStr">
        <is>
          <t>pad</t>
        </is>
      </c>
      <c r="C103" s="7" t="inlineStr"/>
      <c r="D103" s="7" t="n">
        <v>11</v>
      </c>
      <c r="E103" s="7" t="n">
        <v>180</v>
      </c>
      <c r="F103" s="7" t="n">
        <v>560</v>
      </c>
    </row>
    <row r="104">
      <c r="A104" s="6" t="inlineStr">
        <is>
          <t>merge</t>
        </is>
      </c>
      <c r="B104" s="6" t="inlineStr">
        <is>
          <t>pad</t>
        </is>
      </c>
      <c r="C104" s="7" t="inlineStr"/>
      <c r="D104" s="7" t="n">
        <v>12</v>
      </c>
      <c r="E104" s="7" t="n">
        <v>60</v>
      </c>
      <c r="F104" s="7" t="n">
        <v>570</v>
      </c>
    </row>
    <row r="105">
      <c r="A105" s="6" t="inlineStr">
        <is>
          <t>cross</t>
        </is>
      </c>
      <c r="B105" s="6" t="inlineStr">
        <is>
          <t>path</t>
        </is>
      </c>
      <c r="C105" s="7" t="n">
        <v>1</v>
      </c>
      <c r="D105" s="7" t="n">
        <v>1</v>
      </c>
      <c r="E105" s="7" t="n">
        <v>100</v>
      </c>
      <c r="F105" s="7" t="n">
        <v>-24</v>
      </c>
    </row>
    <row r="106">
      <c r="A106" s="6" t="inlineStr">
        <is>
          <t>cross</t>
        </is>
      </c>
      <c r="B106" s="6" t="inlineStr">
        <is>
          <t>path</t>
        </is>
      </c>
      <c r="C106" s="7" t="n">
        <v>1</v>
      </c>
      <c r="D106" s="7" t="n">
        <v>2</v>
      </c>
      <c r="E106" s="7" t="n">
        <v>100</v>
      </c>
      <c r="F106" s="7" t="n">
        <v>200</v>
      </c>
    </row>
    <row r="107">
      <c r="A107" s="6" t="inlineStr">
        <is>
          <t>cross</t>
        </is>
      </c>
      <c r="B107" s="6" t="inlineStr">
        <is>
          <t>path</t>
        </is>
      </c>
      <c r="C107" s="7" t="n">
        <v>1</v>
      </c>
      <c r="D107" s="7" t="n">
        <v>3</v>
      </c>
      <c r="E107" s="7" t="n">
        <v>260</v>
      </c>
      <c r="F107" s="7" t="n">
        <v>200</v>
      </c>
    </row>
    <row r="108">
      <c r="A108" s="6" t="inlineStr">
        <is>
          <t>cross</t>
        </is>
      </c>
      <c r="B108" s="6" t="inlineStr">
        <is>
          <t>path</t>
        </is>
      </c>
      <c r="C108" s="7" t="n">
        <v>1</v>
      </c>
      <c r="D108" s="7" t="n">
        <v>4</v>
      </c>
      <c r="E108" s="7" t="n">
        <v>260</v>
      </c>
      <c r="F108" s="7" t="n">
        <v>624</v>
      </c>
    </row>
    <row r="109">
      <c r="A109" s="6" t="inlineStr">
        <is>
          <t>cross</t>
        </is>
      </c>
      <c r="B109" s="6" t="inlineStr">
        <is>
          <t>path</t>
        </is>
      </c>
      <c r="C109" s="7" t="n">
        <v>2</v>
      </c>
      <c r="D109" s="7" t="n">
        <v>1</v>
      </c>
      <c r="E109" s="7" t="n">
        <v>-24</v>
      </c>
      <c r="F109" s="7" t="n">
        <v>320</v>
      </c>
    </row>
    <row r="110">
      <c r="A110" s="6" t="inlineStr">
        <is>
          <t>cross</t>
        </is>
      </c>
      <c r="B110" s="6" t="inlineStr">
        <is>
          <t>path</t>
        </is>
      </c>
      <c r="C110" s="7" t="n">
        <v>2</v>
      </c>
      <c r="D110" s="7" t="n">
        <v>2</v>
      </c>
      <c r="E110" s="7" t="n">
        <v>180</v>
      </c>
      <c r="F110" s="7" t="n">
        <v>320</v>
      </c>
    </row>
    <row r="111">
      <c r="A111" s="6" t="inlineStr">
        <is>
          <t>cross</t>
        </is>
      </c>
      <c r="B111" s="6" t="inlineStr">
        <is>
          <t>path</t>
        </is>
      </c>
      <c r="C111" s="7" t="n">
        <v>2</v>
      </c>
      <c r="D111" s="7" t="n">
        <v>3</v>
      </c>
      <c r="E111" s="7" t="n">
        <v>180</v>
      </c>
      <c r="F111" s="7" t="n">
        <v>480</v>
      </c>
    </row>
    <row r="112">
      <c r="A112" s="6" t="inlineStr">
        <is>
          <t>cross</t>
        </is>
      </c>
      <c r="B112" s="6" t="inlineStr">
        <is>
          <t>path</t>
        </is>
      </c>
      <c r="C112" s="7" t="n">
        <v>2</v>
      </c>
      <c r="D112" s="7" t="n">
        <v>4</v>
      </c>
      <c r="E112" s="7" t="n">
        <v>384</v>
      </c>
      <c r="F112" s="7" t="n">
        <v>480</v>
      </c>
    </row>
    <row r="113">
      <c r="A113" s="6" t="inlineStr">
        <is>
          <t>cross</t>
        </is>
      </c>
      <c r="B113" s="6" t="inlineStr">
        <is>
          <t>pad</t>
        </is>
      </c>
      <c r="C113" s="7" t="inlineStr"/>
      <c r="D113" s="7" t="n">
        <v>1</v>
      </c>
      <c r="E113" s="7" t="n">
        <v>180</v>
      </c>
      <c r="F113" s="7" t="n">
        <v>100</v>
      </c>
    </row>
    <row r="114">
      <c r="A114" s="6" t="inlineStr">
        <is>
          <t>cross</t>
        </is>
      </c>
      <c r="B114" s="6" t="inlineStr">
        <is>
          <t>pad</t>
        </is>
      </c>
      <c r="C114" s="7" t="inlineStr"/>
      <c r="D114" s="7" t="n">
        <v>2</v>
      </c>
      <c r="E114" s="7" t="n">
        <v>40</v>
      </c>
      <c r="F114" s="7" t="n">
        <v>120</v>
      </c>
    </row>
    <row r="115">
      <c r="A115" s="6" t="inlineStr">
        <is>
          <t>cross</t>
        </is>
      </c>
      <c r="B115" s="6" t="inlineStr">
        <is>
          <t>pad</t>
        </is>
      </c>
      <c r="C115" s="7" t="inlineStr"/>
      <c r="D115" s="7" t="n">
        <v>3</v>
      </c>
      <c r="E115" s="7" t="n">
        <v>330</v>
      </c>
      <c r="F115" s="7" t="n">
        <v>120</v>
      </c>
    </row>
    <row r="116">
      <c r="A116" s="6" t="inlineStr">
        <is>
          <t>cross</t>
        </is>
      </c>
      <c r="B116" s="6" t="inlineStr">
        <is>
          <t>pad</t>
        </is>
      </c>
      <c r="C116" s="7" t="inlineStr"/>
      <c r="D116" s="7" t="n">
        <v>4</v>
      </c>
      <c r="E116" s="7" t="n">
        <v>180</v>
      </c>
      <c r="F116" s="7" t="n">
        <v>260</v>
      </c>
    </row>
    <row r="117">
      <c r="A117" s="6" t="inlineStr">
        <is>
          <t>cross</t>
        </is>
      </c>
      <c r="B117" s="6" t="inlineStr">
        <is>
          <t>pad</t>
        </is>
      </c>
      <c r="C117" s="7" t="inlineStr"/>
      <c r="D117" s="7" t="n">
        <v>5</v>
      </c>
      <c r="E117" s="7" t="n">
        <v>320</v>
      </c>
      <c r="F117" s="7" t="n">
        <v>300</v>
      </c>
    </row>
    <row r="118">
      <c r="A118" s="6" t="inlineStr">
        <is>
          <t>cross</t>
        </is>
      </c>
      <c r="B118" s="6" t="inlineStr">
        <is>
          <t>pad</t>
        </is>
      </c>
      <c r="C118" s="7" t="inlineStr"/>
      <c r="D118" s="7" t="n">
        <v>6</v>
      </c>
      <c r="E118" s="7" t="n">
        <v>60</v>
      </c>
      <c r="F118" s="7" t="n">
        <v>400</v>
      </c>
    </row>
    <row r="119">
      <c r="A119" s="6" t="inlineStr">
        <is>
          <t>cross</t>
        </is>
      </c>
      <c r="B119" s="6" t="inlineStr">
        <is>
          <t>pad</t>
        </is>
      </c>
      <c r="C119" s="7" t="inlineStr"/>
      <c r="D119" s="7" t="n">
        <v>7</v>
      </c>
      <c r="E119" s="7" t="n">
        <v>120</v>
      </c>
      <c r="F119" s="7" t="n">
        <v>400</v>
      </c>
    </row>
    <row r="120">
      <c r="A120" s="6" t="inlineStr">
        <is>
          <t>cross</t>
        </is>
      </c>
      <c r="B120" s="6" t="inlineStr">
        <is>
          <t>pad</t>
        </is>
      </c>
      <c r="C120" s="7" t="inlineStr"/>
      <c r="D120" s="7" t="n">
        <v>8</v>
      </c>
      <c r="E120" s="7" t="n">
        <v>220</v>
      </c>
      <c r="F120" s="7" t="n">
        <v>400</v>
      </c>
    </row>
    <row r="121">
      <c r="A121" s="6" t="inlineStr">
        <is>
          <t>cross</t>
        </is>
      </c>
      <c r="B121" s="6" t="inlineStr">
        <is>
          <t>pad</t>
        </is>
      </c>
      <c r="C121" s="7" t="inlineStr"/>
      <c r="D121" s="7" t="n">
        <v>9</v>
      </c>
      <c r="E121" s="7" t="n">
        <v>320</v>
      </c>
      <c r="F121" s="7" t="n">
        <v>400</v>
      </c>
    </row>
    <row r="122">
      <c r="A122" s="6" t="inlineStr">
        <is>
          <t>cross</t>
        </is>
      </c>
      <c r="B122" s="6" t="inlineStr">
        <is>
          <t>pad</t>
        </is>
      </c>
      <c r="C122" s="7" t="inlineStr"/>
      <c r="D122" s="7" t="n">
        <v>10</v>
      </c>
      <c r="E122" s="7" t="n">
        <v>100</v>
      </c>
      <c r="F122" s="7" t="n">
        <v>560</v>
      </c>
    </row>
    <row r="123">
      <c r="A123" s="6" t="inlineStr">
        <is>
          <t>cross</t>
        </is>
      </c>
      <c r="B123" s="6" t="inlineStr">
        <is>
          <t>pad</t>
        </is>
      </c>
      <c r="C123" s="7" t="inlineStr"/>
      <c r="D123" s="7" t="n">
        <v>11</v>
      </c>
      <c r="E123" s="7" t="n">
        <v>200</v>
      </c>
      <c r="F123" s="7" t="n">
        <v>560</v>
      </c>
    </row>
    <row r="124">
      <c r="A124" s="6" t="inlineStr">
        <is>
          <t>cross</t>
        </is>
      </c>
      <c r="B124" s="6" t="inlineStr">
        <is>
          <t>pad</t>
        </is>
      </c>
      <c r="C124" s="7" t="inlineStr"/>
      <c r="D124" s="7" t="n">
        <v>12</v>
      </c>
      <c r="E124" s="7" t="n">
        <v>320</v>
      </c>
      <c r="F124" s="7" t="n">
        <v>560</v>
      </c>
    </row>
    <row r="125">
      <c r="A125" s="6" t="inlineStr">
        <is>
          <t>trident</t>
        </is>
      </c>
      <c r="B125" s="6" t="inlineStr">
        <is>
          <t>path</t>
        </is>
      </c>
      <c r="C125" s="7" t="n">
        <v>1</v>
      </c>
      <c r="D125" s="7" t="n">
        <v>1</v>
      </c>
      <c r="E125" s="7" t="n">
        <v>-24</v>
      </c>
      <c r="F125" s="7" t="n">
        <v>120</v>
      </c>
    </row>
    <row r="126">
      <c r="A126" s="6" t="inlineStr">
        <is>
          <t>trident</t>
        </is>
      </c>
      <c r="B126" s="6" t="inlineStr">
        <is>
          <t>path</t>
        </is>
      </c>
      <c r="C126" s="7" t="n">
        <v>1</v>
      </c>
      <c r="D126" s="7" t="n">
        <v>2</v>
      </c>
      <c r="E126" s="7" t="n">
        <v>100</v>
      </c>
      <c r="F126" s="7" t="n">
        <v>120</v>
      </c>
    </row>
    <row r="127">
      <c r="A127" s="6" t="inlineStr">
        <is>
          <t>trident</t>
        </is>
      </c>
      <c r="B127" s="6" t="inlineStr">
        <is>
          <t>path</t>
        </is>
      </c>
      <c r="C127" s="7" t="n">
        <v>1</v>
      </c>
      <c r="D127" s="7" t="n">
        <v>3</v>
      </c>
      <c r="E127" s="7" t="n">
        <v>100</v>
      </c>
      <c r="F127" s="7" t="n">
        <v>360</v>
      </c>
    </row>
    <row r="128">
      <c r="A128" s="6" t="inlineStr">
        <is>
          <t>trident</t>
        </is>
      </c>
      <c r="B128" s="6" t="inlineStr">
        <is>
          <t>path</t>
        </is>
      </c>
      <c r="C128" s="7" t="n">
        <v>1</v>
      </c>
      <c r="D128" s="7" t="n">
        <v>4</v>
      </c>
      <c r="E128" s="7" t="n">
        <v>180</v>
      </c>
      <c r="F128" s="7" t="n">
        <v>360</v>
      </c>
    </row>
    <row r="129">
      <c r="A129" s="6" t="inlineStr">
        <is>
          <t>trident</t>
        </is>
      </c>
      <c r="B129" s="6" t="inlineStr">
        <is>
          <t>path</t>
        </is>
      </c>
      <c r="C129" s="7" t="n">
        <v>1</v>
      </c>
      <c r="D129" s="7" t="n">
        <v>5</v>
      </c>
      <c r="E129" s="7" t="n">
        <v>180</v>
      </c>
      <c r="F129" s="7" t="n">
        <v>624</v>
      </c>
    </row>
    <row r="130">
      <c r="A130" s="6" t="inlineStr">
        <is>
          <t>trident</t>
        </is>
      </c>
      <c r="B130" s="6" t="inlineStr">
        <is>
          <t>path</t>
        </is>
      </c>
      <c r="C130" s="7" t="n">
        <v>2</v>
      </c>
      <c r="D130" s="7" t="n">
        <v>1</v>
      </c>
      <c r="E130" s="7" t="n">
        <v>180</v>
      </c>
      <c r="F130" s="7" t="n">
        <v>-24</v>
      </c>
    </row>
    <row r="131">
      <c r="A131" s="6" t="inlineStr">
        <is>
          <t>trident</t>
        </is>
      </c>
      <c r="B131" s="6" t="inlineStr">
        <is>
          <t>path</t>
        </is>
      </c>
      <c r="C131" s="7" t="n">
        <v>2</v>
      </c>
      <c r="D131" s="7" t="n">
        <v>2</v>
      </c>
      <c r="E131" s="7" t="n">
        <v>180</v>
      </c>
      <c r="F131" s="7" t="n">
        <v>624</v>
      </c>
    </row>
    <row r="132">
      <c r="A132" s="6" t="inlineStr">
        <is>
          <t>trident</t>
        </is>
      </c>
      <c r="B132" s="6" t="inlineStr">
        <is>
          <t>path</t>
        </is>
      </c>
      <c r="C132" s="7" t="n">
        <v>3</v>
      </c>
      <c r="D132" s="7" t="n">
        <v>1</v>
      </c>
      <c r="E132" s="7" t="n">
        <v>384</v>
      </c>
      <c r="F132" s="7" t="n">
        <v>120</v>
      </c>
    </row>
    <row r="133">
      <c r="A133" s="6" t="inlineStr">
        <is>
          <t>trident</t>
        </is>
      </c>
      <c r="B133" s="6" t="inlineStr">
        <is>
          <t>path</t>
        </is>
      </c>
      <c r="C133" s="7" t="n">
        <v>3</v>
      </c>
      <c r="D133" s="7" t="n">
        <v>2</v>
      </c>
      <c r="E133" s="7" t="n">
        <v>260</v>
      </c>
      <c r="F133" s="7" t="n">
        <v>120</v>
      </c>
    </row>
    <row r="134">
      <c r="A134" s="6" t="inlineStr">
        <is>
          <t>trident</t>
        </is>
      </c>
      <c r="B134" s="6" t="inlineStr">
        <is>
          <t>path</t>
        </is>
      </c>
      <c r="C134" s="7" t="n">
        <v>3</v>
      </c>
      <c r="D134" s="7" t="n">
        <v>3</v>
      </c>
      <c r="E134" s="7" t="n">
        <v>260</v>
      </c>
      <c r="F134" s="7" t="n">
        <v>360</v>
      </c>
    </row>
    <row r="135">
      <c r="A135" s="6" t="inlineStr">
        <is>
          <t>trident</t>
        </is>
      </c>
      <c r="B135" s="6" t="inlineStr">
        <is>
          <t>path</t>
        </is>
      </c>
      <c r="C135" s="7" t="n">
        <v>3</v>
      </c>
      <c r="D135" s="7" t="n">
        <v>4</v>
      </c>
      <c r="E135" s="7" t="n">
        <v>180</v>
      </c>
      <c r="F135" s="7" t="n">
        <v>360</v>
      </c>
    </row>
    <row r="136">
      <c r="A136" s="6" t="inlineStr">
        <is>
          <t>trident</t>
        </is>
      </c>
      <c r="B136" s="6" t="inlineStr">
        <is>
          <t>path</t>
        </is>
      </c>
      <c r="C136" s="7" t="n">
        <v>3</v>
      </c>
      <c r="D136" s="7" t="n">
        <v>5</v>
      </c>
      <c r="E136" s="7" t="n">
        <v>180</v>
      </c>
      <c r="F136" s="7" t="n">
        <v>624</v>
      </c>
    </row>
    <row r="137">
      <c r="A137" s="6" t="inlineStr">
        <is>
          <t>trident</t>
        </is>
      </c>
      <c r="B137" s="6" t="inlineStr">
        <is>
          <t>pad</t>
        </is>
      </c>
      <c r="C137" s="7" t="inlineStr"/>
      <c r="D137" s="7" t="n">
        <v>1</v>
      </c>
      <c r="E137" s="7" t="n">
        <v>40</v>
      </c>
      <c r="F137" s="7" t="n">
        <v>60</v>
      </c>
    </row>
    <row r="138">
      <c r="A138" s="6" t="inlineStr">
        <is>
          <t>trident</t>
        </is>
      </c>
      <c r="B138" s="6" t="inlineStr">
        <is>
          <t>pad</t>
        </is>
      </c>
      <c r="C138" s="7" t="inlineStr"/>
      <c r="D138" s="7" t="n">
        <v>2</v>
      </c>
      <c r="E138" s="7" t="n">
        <v>320</v>
      </c>
      <c r="F138" s="7" t="n">
        <v>60</v>
      </c>
    </row>
    <row r="139">
      <c r="A139" s="6" t="inlineStr">
        <is>
          <t>trident</t>
        </is>
      </c>
      <c r="B139" s="6" t="inlineStr">
        <is>
          <t>pad</t>
        </is>
      </c>
      <c r="C139" s="7" t="inlineStr"/>
      <c r="D139" s="7" t="n">
        <v>3</v>
      </c>
      <c r="E139" s="7" t="n">
        <v>120</v>
      </c>
      <c r="F139" s="7" t="n">
        <v>60</v>
      </c>
    </row>
    <row r="140">
      <c r="A140" s="6" t="inlineStr">
        <is>
          <t>trident</t>
        </is>
      </c>
      <c r="B140" s="6" t="inlineStr">
        <is>
          <t>pad</t>
        </is>
      </c>
      <c r="C140" s="7" t="inlineStr"/>
      <c r="D140" s="7" t="n">
        <v>4</v>
      </c>
      <c r="E140" s="7" t="n">
        <v>240</v>
      </c>
      <c r="F140" s="7" t="n">
        <v>60</v>
      </c>
    </row>
    <row r="141">
      <c r="A141" s="6" t="inlineStr">
        <is>
          <t>trident</t>
        </is>
      </c>
      <c r="B141" s="6" t="inlineStr">
        <is>
          <t>pad</t>
        </is>
      </c>
      <c r="C141" s="7" t="inlineStr"/>
      <c r="D141" s="7" t="n">
        <v>5</v>
      </c>
      <c r="E141" s="7" t="n">
        <v>140</v>
      </c>
      <c r="F141" s="7" t="n">
        <v>220</v>
      </c>
    </row>
    <row r="142">
      <c r="A142" s="6" t="inlineStr">
        <is>
          <t>trident</t>
        </is>
      </c>
      <c r="B142" s="6" t="inlineStr">
        <is>
          <t>pad</t>
        </is>
      </c>
      <c r="C142" s="7" t="inlineStr"/>
      <c r="D142" s="7" t="n">
        <v>6</v>
      </c>
      <c r="E142" s="7" t="n">
        <v>220</v>
      </c>
      <c r="F142" s="7" t="n">
        <v>220</v>
      </c>
    </row>
    <row r="143">
      <c r="A143" s="6" t="inlineStr">
        <is>
          <t>trident</t>
        </is>
      </c>
      <c r="B143" s="6" t="inlineStr">
        <is>
          <t>pad</t>
        </is>
      </c>
      <c r="C143" s="7" t="inlineStr"/>
      <c r="D143" s="7" t="n">
        <v>7</v>
      </c>
      <c r="E143" s="7" t="n">
        <v>40</v>
      </c>
      <c r="F143" s="7" t="n">
        <v>240</v>
      </c>
    </row>
    <row r="144">
      <c r="A144" s="6" t="inlineStr">
        <is>
          <t>trident</t>
        </is>
      </c>
      <c r="B144" s="6" t="inlineStr">
        <is>
          <t>pad</t>
        </is>
      </c>
      <c r="C144" s="7" t="inlineStr"/>
      <c r="D144" s="7" t="n">
        <v>8</v>
      </c>
      <c r="E144" s="7" t="n">
        <v>320</v>
      </c>
      <c r="F144" s="7" t="n">
        <v>240</v>
      </c>
    </row>
    <row r="145">
      <c r="A145" s="6" t="inlineStr">
        <is>
          <t>trident</t>
        </is>
      </c>
      <c r="B145" s="6" t="inlineStr">
        <is>
          <t>pad</t>
        </is>
      </c>
      <c r="C145" s="7" t="inlineStr"/>
      <c r="D145" s="7" t="n">
        <v>9</v>
      </c>
      <c r="E145" s="7" t="n">
        <v>100</v>
      </c>
      <c r="F145" s="7" t="n">
        <v>440</v>
      </c>
    </row>
    <row r="146">
      <c r="A146" s="6" t="inlineStr">
        <is>
          <t>trident</t>
        </is>
      </c>
      <c r="B146" s="6" t="inlineStr">
        <is>
          <t>pad</t>
        </is>
      </c>
      <c r="C146" s="7" t="inlineStr"/>
      <c r="D146" s="7" t="n">
        <v>10</v>
      </c>
      <c r="E146" s="7" t="n">
        <v>260</v>
      </c>
      <c r="F146" s="7" t="n">
        <v>440</v>
      </c>
    </row>
    <row r="147">
      <c r="A147" s="6" t="inlineStr">
        <is>
          <t>trident</t>
        </is>
      </c>
      <c r="B147" s="6" t="inlineStr">
        <is>
          <t>pad</t>
        </is>
      </c>
      <c r="C147" s="7" t="inlineStr"/>
      <c r="D147" s="7" t="n">
        <v>11</v>
      </c>
      <c r="E147" s="7" t="n">
        <v>120</v>
      </c>
      <c r="F147" s="7" t="n">
        <v>540</v>
      </c>
    </row>
    <row r="148">
      <c r="A148" s="6" t="inlineStr">
        <is>
          <t>trident</t>
        </is>
      </c>
      <c r="B148" s="6" t="inlineStr">
        <is>
          <t>pad</t>
        </is>
      </c>
      <c r="C148" s="7" t="inlineStr"/>
      <c r="D148" s="7" t="n">
        <v>12</v>
      </c>
      <c r="E148" s="7" t="n">
        <v>240</v>
      </c>
      <c r="F148" s="7" t="n">
        <v>540</v>
      </c>
    </row>
    <row r="150">
      <c r="A150" s="10" t="inlineStr">
        <is>
          <t>※ 画布 360 × 600，左上角是 (0, 0)。同一跑道可以有多条路线（route 1、2、3…），每条路线按顺序连成折线，建议只画水平或竖直线段；入口和出口可以在画布外。多条路线共用的路段要用相同坐标，看起来就是一条路。跑者按路线轮流出发。空位离跑道中心线至少 36，空位之间至少 34。</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N106"/>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20" customWidth="1" min="1" max="1"/>
    <col width="10" customWidth="1" min="2" max="2"/>
    <col width="52" customWidth="1" min="3" max="3"/>
    <col width="11" customWidth="1" min="4" max="4"/>
    <col width="46" customWidth="1" min="5" max="5"/>
    <col width="30" customWidth="1" min="6" max="6"/>
    <col width="9" customWidth="1" min="7" max="7"/>
    <col width="9" customWidth="1" min="8" max="8"/>
    <col width="11" customWidth="1" min="9" max="9"/>
    <col width="11" customWidth="1" min="10" max="10"/>
    <col width="7" customWidth="1" min="11" max="11"/>
    <col width="7" customWidth="1" min="12" max="12"/>
    <col width="12" customWidth="1" min="13" max="13"/>
    <col width="22" customWidth="1" min="14" max="14"/>
  </cols>
  <sheetData>
    <row r="1" ht="30" customHeight="1">
      <c r="A1" s="4" t="inlineStr">
        <is>
          <t>资源编号（勿改）</t>
        </is>
      </c>
      <c r="B1" s="4" t="inlineStr">
        <is>
          <t>类别</t>
        </is>
      </c>
      <c r="C1" s="4" t="inlineStr">
        <is>
          <t>说明</t>
        </is>
      </c>
      <c r="D1" s="4" t="inlineStr">
        <is>
          <t>优先级</t>
        </is>
      </c>
      <c r="E1" s="4" t="inlineStr">
        <is>
          <t>图片地址（https:// 链接，留空 = 用占位图）</t>
        </is>
      </c>
      <c r="F1" s="4" t="inlineStr">
        <is>
          <t>动画 JSON 地址（可选）</t>
        </is>
      </c>
      <c r="G1" s="4" t="inlineStr">
        <is>
          <t>游戏内宽</t>
        </is>
      </c>
      <c r="H1" s="4" t="inlineStr">
        <is>
          <t>游戏内高</t>
        </is>
      </c>
      <c r="I1" s="4" t="inlineStr">
        <is>
          <t>锚点 X（0–1）</t>
        </is>
      </c>
      <c r="J1" s="4" t="inlineStr">
        <is>
          <t>锚点 Y（0–1）</t>
        </is>
      </c>
      <c r="K1" s="4" t="inlineStr">
        <is>
          <t>帧数</t>
        </is>
      </c>
      <c r="L1" s="4" t="inlineStr">
        <is>
          <t>帧率</t>
        </is>
      </c>
      <c r="M1" s="4" t="inlineStr">
        <is>
          <t>盖住跑道（1/0，仅地图）</t>
        </is>
      </c>
      <c r="N1" s="4" t="inlineStr">
        <is>
          <t>建议出图尺寸（3 倍，px）</t>
        </is>
      </c>
    </row>
    <row r="2">
      <c r="A2" s="5" t="inlineStr">
        <is>
          <t>key</t>
        </is>
      </c>
      <c r="B2" s="5" t="inlineStr"/>
      <c r="C2" s="5" t="inlineStr"/>
      <c r="D2" s="5" t="inlineStr"/>
      <c r="E2" s="5" t="inlineStr">
        <is>
          <t>src</t>
        </is>
      </c>
      <c r="F2" s="5" t="inlineStr">
        <is>
          <t>json</t>
        </is>
      </c>
      <c r="G2" s="5" t="inlineStr">
        <is>
          <t>w</t>
        </is>
      </c>
      <c r="H2" s="5" t="inlineStr">
        <is>
          <t>h</t>
        </is>
      </c>
      <c r="I2" s="5" t="inlineStr">
        <is>
          <t>ax</t>
        </is>
      </c>
      <c r="J2" s="5" t="inlineStr">
        <is>
          <t>ay</t>
        </is>
      </c>
      <c r="K2" s="5" t="inlineStr">
        <is>
          <t>frames</t>
        </is>
      </c>
      <c r="L2" s="5" t="inlineStr">
        <is>
          <t>fps</t>
        </is>
      </c>
      <c r="M2" s="5" t="inlineStr">
        <is>
          <t>cover</t>
        </is>
      </c>
      <c r="N2" s="5" t="inlineStr"/>
    </row>
    <row r="3">
      <c r="A3" s="6" t="inlineStr">
        <is>
          <t>map.classic</t>
        </is>
      </c>
      <c r="B3" s="9" t="inlineStr">
        <is>
          <t>地图</t>
        </is>
      </c>
      <c r="C3" s="9" t="inlineStr">
        <is>
          <t>蛇形跑道整张底图（草地、装饰；cover=1 时连跑道一起画，游戏就不再画跑道）</t>
        </is>
      </c>
      <c r="D3" s="9" t="inlineStr">
        <is>
          <t>P1 样板关</t>
        </is>
      </c>
      <c r="E3" s="8" t="inlineStr"/>
      <c r="F3" s="8" t="inlineStr"/>
      <c r="G3" s="7" t="n">
        <v>360</v>
      </c>
      <c r="H3" s="7" t="n">
        <v>600</v>
      </c>
      <c r="I3" s="7" t="n">
        <v>0</v>
      </c>
      <c r="J3" s="7" t="n">
        <v>0</v>
      </c>
      <c r="K3" s="7" t="n">
        <v>1</v>
      </c>
      <c r="L3" s="7" t="n">
        <v>0</v>
      </c>
      <c r="M3" s="7" t="n">
        <v>0</v>
      </c>
      <c r="N3" s="9">
        <f>IF(K3&gt;1,K3*G3*3&amp;" × "&amp;H3*3&amp;"（"&amp;K3&amp;" 帧横排）",G3*3&amp;" × "&amp;H3*3)</f>
        <v/>
      </c>
    </row>
    <row r="4">
      <c r="A4" s="6" t="inlineStr">
        <is>
          <t>map.twin</t>
        </is>
      </c>
      <c r="B4" s="9" t="inlineStr">
        <is>
          <t>地图</t>
        </is>
      </c>
      <c r="C4" s="9" t="inlineStr">
        <is>
          <t>双子跑道整张底图（草地、装饰；cover=1 时连跑道一起画，游戏就不再画跑道）</t>
        </is>
      </c>
      <c r="D4" s="9" t="inlineStr">
        <is>
          <t>P2</t>
        </is>
      </c>
      <c r="E4" s="8" t="inlineStr"/>
      <c r="F4" s="8" t="inlineStr"/>
      <c r="G4" s="7" t="n">
        <v>360</v>
      </c>
      <c r="H4" s="7" t="n">
        <v>600</v>
      </c>
      <c r="I4" s="7" t="n">
        <v>0</v>
      </c>
      <c r="J4" s="7" t="n">
        <v>0</v>
      </c>
      <c r="K4" s="7" t="n">
        <v>1</v>
      </c>
      <c r="L4" s="7" t="n">
        <v>0</v>
      </c>
      <c r="M4" s="7" t="n">
        <v>0</v>
      </c>
      <c r="N4" s="9">
        <f>IF(K4&gt;1,K4*G4*3&amp;" × "&amp;H4*3&amp;"（"&amp;K4&amp;" 帧横排）",G4*3&amp;" × "&amp;H4*3)</f>
        <v/>
      </c>
    </row>
    <row r="5">
      <c r="A5" s="6" t="inlineStr">
        <is>
          <t>map.fork</t>
        </is>
      </c>
      <c r="B5" s="9" t="inlineStr">
        <is>
          <t>地图</t>
        </is>
      </c>
      <c r="C5" s="9" t="inlineStr">
        <is>
          <t>分岔路口整张底图（草地、装饰；cover=1 时连跑道一起画，游戏就不再画跑道）</t>
        </is>
      </c>
      <c r="D5" s="9" t="inlineStr">
        <is>
          <t>P2</t>
        </is>
      </c>
      <c r="E5" s="8" t="inlineStr"/>
      <c r="F5" s="8" t="inlineStr"/>
      <c r="G5" s="7" t="n">
        <v>360</v>
      </c>
      <c r="H5" s="7" t="n">
        <v>600</v>
      </c>
      <c r="I5" s="7" t="n">
        <v>0</v>
      </c>
      <c r="J5" s="7" t="n">
        <v>0</v>
      </c>
      <c r="K5" s="7" t="n">
        <v>1</v>
      </c>
      <c r="L5" s="7" t="n">
        <v>0</v>
      </c>
      <c r="M5" s="7" t="n">
        <v>0</v>
      </c>
      <c r="N5" s="9">
        <f>IF(K5&gt;1,K5*G5*3&amp;" × "&amp;H5*3&amp;"（"&amp;K5&amp;" 帧横排）",G5*3&amp;" × "&amp;H5*3)</f>
        <v/>
      </c>
    </row>
    <row r="6">
      <c r="A6" s="6" t="inlineStr">
        <is>
          <t>map.merge</t>
        </is>
      </c>
      <c r="B6" s="9" t="inlineStr">
        <is>
          <t>地图</t>
        </is>
      </c>
      <c r="C6" s="9" t="inlineStr">
        <is>
          <t>汇流跑道整张底图（草地、装饰；cover=1 时连跑道一起画，游戏就不再画跑道）</t>
        </is>
      </c>
      <c r="D6" s="9" t="inlineStr">
        <is>
          <t>P2</t>
        </is>
      </c>
      <c r="E6" s="8" t="inlineStr"/>
      <c r="F6" s="8" t="inlineStr"/>
      <c r="G6" s="7" t="n">
        <v>360</v>
      </c>
      <c r="H6" s="7" t="n">
        <v>600</v>
      </c>
      <c r="I6" s="7" t="n">
        <v>0</v>
      </c>
      <c r="J6" s="7" t="n">
        <v>0</v>
      </c>
      <c r="K6" s="7" t="n">
        <v>1</v>
      </c>
      <c r="L6" s="7" t="n">
        <v>0</v>
      </c>
      <c r="M6" s="7" t="n">
        <v>0</v>
      </c>
      <c r="N6" s="9">
        <f>IF(K6&gt;1,K6*G6*3&amp;" × "&amp;H6*3&amp;"（"&amp;K6&amp;" 帧横排）",G6*3&amp;" × "&amp;H6*3)</f>
        <v/>
      </c>
    </row>
    <row r="7">
      <c r="A7" s="6" t="inlineStr">
        <is>
          <t>map.cross</t>
        </is>
      </c>
      <c r="B7" s="9" t="inlineStr">
        <is>
          <t>地图</t>
        </is>
      </c>
      <c r="C7" s="9" t="inlineStr">
        <is>
          <t>十字路口整张底图（草地、装饰；cover=1 时连跑道一起画，游戏就不再画跑道）</t>
        </is>
      </c>
      <c r="D7" s="9" t="inlineStr">
        <is>
          <t>P2</t>
        </is>
      </c>
      <c r="E7" s="8" t="inlineStr"/>
      <c r="F7" s="8" t="inlineStr"/>
      <c r="G7" s="7" t="n">
        <v>360</v>
      </c>
      <c r="H7" s="7" t="n">
        <v>600</v>
      </c>
      <c r="I7" s="7" t="n">
        <v>0</v>
      </c>
      <c r="J7" s="7" t="n">
        <v>0</v>
      </c>
      <c r="K7" s="7" t="n">
        <v>1</v>
      </c>
      <c r="L7" s="7" t="n">
        <v>0</v>
      </c>
      <c r="M7" s="7" t="n">
        <v>0</v>
      </c>
      <c r="N7" s="9">
        <f>IF(K7&gt;1,K7*G7*3&amp;" × "&amp;H7*3&amp;"（"&amp;K7&amp;" 帧横排）",G7*3&amp;" × "&amp;H7*3)</f>
        <v/>
      </c>
    </row>
    <row r="8">
      <c r="A8" s="6" t="inlineStr">
        <is>
          <t>map.trident</t>
        </is>
      </c>
      <c r="B8" s="9" t="inlineStr">
        <is>
          <t>地图</t>
        </is>
      </c>
      <c r="C8" s="9" t="inlineStr">
        <is>
          <t>三路汇聚整张底图（草地、装饰；cover=1 时连跑道一起画，游戏就不再画跑道）</t>
        </is>
      </c>
      <c r="D8" s="9" t="inlineStr">
        <is>
          <t>P2</t>
        </is>
      </c>
      <c r="E8" s="8" t="inlineStr"/>
      <c r="F8" s="8" t="inlineStr"/>
      <c r="G8" s="7" t="n">
        <v>360</v>
      </c>
      <c r="H8" s="7" t="n">
        <v>600</v>
      </c>
      <c r="I8" s="7" t="n">
        <v>0</v>
      </c>
      <c r="J8" s="7" t="n">
        <v>0</v>
      </c>
      <c r="K8" s="7" t="n">
        <v>1</v>
      </c>
      <c r="L8" s="7" t="n">
        <v>0</v>
      </c>
      <c r="M8" s="7" t="n">
        <v>0</v>
      </c>
      <c r="N8" s="9">
        <f>IF(K8&gt;1,K8*G8*3&amp;" × "&amp;H8*3&amp;"（"&amp;K8&amp;" 帧横排）",G8*3&amp;" × "&amp;H8*3)</f>
        <v/>
      </c>
    </row>
    <row r="9">
      <c r="A9" s="6" t="inlineStr">
        <is>
          <t>tower.dart</t>
        </is>
      </c>
      <c r="B9" s="9" t="inlineStr">
        <is>
          <t>装置</t>
        </is>
      </c>
      <c r="C9" s="9" t="inlineStr">
        <is>
          <t>易拉罐投手：基础造型，面朝右（朝左时游戏自动翻转）。可做动画：idle 待机 + fire 发射（JSON 标出 release 出手帧和 muzzle 出手点）</t>
        </is>
      </c>
      <c r="D9" s="9" t="inlineStr">
        <is>
          <t>P1 样板关</t>
        </is>
      </c>
      <c r="E9" s="8" t="inlineStr">
        <is>
          <t>art/tower.dart.png</t>
        </is>
      </c>
      <c r="F9" s="8" t="inlineStr">
        <is>
          <t>art/tower.dart.json</t>
        </is>
      </c>
      <c r="G9" s="7" t="n">
        <v>44.6</v>
      </c>
      <c r="H9" s="7" t="n">
        <v>46.5</v>
      </c>
      <c r="I9" s="7" t="n">
        <v>0.5</v>
      </c>
      <c r="J9" s="7" t="n">
        <v>0.92</v>
      </c>
      <c r="K9" s="7" t="n">
        <v>1</v>
      </c>
      <c r="L9" s="7" t="n">
        <v>0</v>
      </c>
      <c r="M9" s="7" t="n">
        <v>0</v>
      </c>
      <c r="N9" s="9">
        <f>IF(K9&gt;1,K9*G9*3&amp;" × "&amp;H9*3&amp;"（"&amp;K9&amp;" 帧横排）",G9*3&amp;" × "&amp;H9*3)</f>
        <v/>
      </c>
    </row>
    <row r="10">
      <c r="A10" s="6" t="inlineStr">
        <is>
          <t>tower.bomb</t>
        </is>
      </c>
      <c r="B10" s="9" t="inlineStr">
        <is>
          <t>装置</t>
        </is>
      </c>
      <c r="C10" s="9" t="inlineStr">
        <is>
          <t>香蕉皮投手：基础造型，面朝右（朝左时游戏自动翻转）。可做动画：idle 待机 + fire 发射（JSON 标出 release 出手帧和 muzzle 出手点）</t>
        </is>
      </c>
      <c r="D10" s="9" t="inlineStr">
        <is>
          <t>P1 样板关</t>
        </is>
      </c>
      <c r="E10" s="8" t="inlineStr">
        <is>
          <t>art/tower.bomb.png</t>
        </is>
      </c>
      <c r="F10" s="8" t="inlineStr">
        <is>
          <t>art/tower.bomb.json</t>
        </is>
      </c>
      <c r="G10" s="7" t="n">
        <v>44.6</v>
      </c>
      <c r="H10" s="7" t="n">
        <v>46.5</v>
      </c>
      <c r="I10" s="7" t="n">
        <v>0.5</v>
      </c>
      <c r="J10" s="7" t="n">
        <v>0.92</v>
      </c>
      <c r="K10" s="7" t="n">
        <v>1</v>
      </c>
      <c r="L10" s="7" t="n">
        <v>0</v>
      </c>
      <c r="M10" s="7" t="n">
        <v>0</v>
      </c>
      <c r="N10" s="9">
        <f>IF(K10&gt;1,K10*G10*3&amp;" × "&amp;H10*3&amp;"（"&amp;K10&amp;" 帧横排）",G10*3&amp;" × "&amp;H10*3)</f>
        <v/>
      </c>
    </row>
    <row r="11">
      <c r="A11" s="6" t="inlineStr">
        <is>
          <t>tower.frost</t>
        </is>
      </c>
      <c r="B11" s="9" t="inlineStr">
        <is>
          <t>装置</t>
        </is>
      </c>
      <c r="C11" s="9" t="inlineStr">
        <is>
          <t>洒水器：基础造型，面朝右（朝左时游戏自动翻转）。可做动画：idle 待机 + fire 发射（JSON 标出 release 出手帧和 muzzle 出手点）</t>
        </is>
      </c>
      <c r="D11" s="9" t="inlineStr">
        <is>
          <t>P2</t>
        </is>
      </c>
      <c r="E11" s="8" t="inlineStr">
        <is>
          <t>art/tower.frost.png</t>
        </is>
      </c>
      <c r="F11" s="8" t="inlineStr">
        <is>
          <t>art/tower.frost.json</t>
        </is>
      </c>
      <c r="G11" s="7" t="n">
        <v>73.90000000000001</v>
      </c>
      <c r="H11" s="7" t="n">
        <v>50.5</v>
      </c>
      <c r="I11" s="7" t="n">
        <v>0.5</v>
      </c>
      <c r="J11" s="7" t="n">
        <v>0.92</v>
      </c>
      <c r="K11" s="7" t="n">
        <v>1</v>
      </c>
      <c r="L11" s="7" t="n">
        <v>0</v>
      </c>
      <c r="M11" s="7" t="n">
        <v>0</v>
      </c>
      <c r="N11" s="9">
        <f>IF(K11&gt;1,K11*G11*3&amp;" × "&amp;H11*3&amp;"（"&amp;K11&amp;" 帧横排）",G11*3&amp;" × "&amp;H11*3)</f>
        <v/>
      </c>
    </row>
    <row r="12">
      <c r="A12" s="6" t="inlineStr">
        <is>
          <t>tower.truck</t>
        </is>
      </c>
      <c r="B12" s="9" t="inlineStr">
        <is>
          <t>装置</t>
        </is>
      </c>
      <c r="C12" s="9" t="inlineStr">
        <is>
          <t>洒水车：车头朝右（朝左时游戏自动翻转），地面点在车轮下；静态图即可，行驶时游戏会让它颠簸，喷水从车头喷口出</t>
        </is>
      </c>
      <c r="D12" s="9" t="inlineStr">
        <is>
          <t>P2</t>
        </is>
      </c>
      <c r="E12" s="8" t="inlineStr">
        <is>
          <t>art/tower.truck.png</t>
        </is>
      </c>
      <c r="F12" s="8" t="inlineStr"/>
      <c r="G12" s="7" t="n">
        <v>52</v>
      </c>
      <c r="H12" s="7" t="n">
        <v>46</v>
      </c>
      <c r="I12" s="7" t="n">
        <v>0.5</v>
      </c>
      <c r="J12" s="7" t="n">
        <v>0.9</v>
      </c>
      <c r="K12" s="7" t="n">
        <v>1</v>
      </c>
      <c r="L12" s="7" t="n">
        <v>0</v>
      </c>
      <c r="M12" s="7" t="n">
        <v>0</v>
      </c>
      <c r="N12" s="9">
        <f>IF(K12&gt;1,K12*G12*3&amp;" × "&amp;H12*3&amp;"（"&amp;K12&amp;" 帧横排）",G12*3&amp;" × "&amp;H12*3)</f>
        <v/>
      </c>
    </row>
    <row r="13">
      <c r="A13" s="6" t="inlineStr">
        <is>
          <t>tower.sniper</t>
        </is>
      </c>
      <c r="B13" s="9" t="inlineStr">
        <is>
          <t>装置</t>
        </is>
      </c>
      <c r="C13" s="9" t="inlineStr">
        <is>
          <t>鞋盒无人机：基础造型，面朝右（朝左时游戏自动翻转）。可做动画：idle 待机 + fire 发射（JSON 标出 release 出手帧和 muzzle 出手点）</t>
        </is>
      </c>
      <c r="D13" s="9" t="inlineStr">
        <is>
          <t>P2</t>
        </is>
      </c>
      <c r="E13" s="8" t="inlineStr">
        <is>
          <t>art/tower.sniper.png</t>
        </is>
      </c>
      <c r="F13" s="8" t="inlineStr">
        <is>
          <t>art/tower.sniper.json</t>
        </is>
      </c>
      <c r="G13" s="7" t="n">
        <v>48.9</v>
      </c>
      <c r="H13" s="7" t="n">
        <v>40.5</v>
      </c>
      <c r="I13" s="7" t="n">
        <v>0.5</v>
      </c>
      <c r="J13" s="7" t="n">
        <v>0.92</v>
      </c>
      <c r="K13" s="7" t="n">
        <v>1</v>
      </c>
      <c r="L13" s="7" t="n">
        <v>0</v>
      </c>
      <c r="M13" s="7" t="n">
        <v>0</v>
      </c>
      <c r="N13" s="9">
        <f>IF(K13&gt;1,K13*G13*3&amp;" × "&amp;H13*3&amp;"（"&amp;K13&amp;" 帧横排）",G13*3&amp;" × "&amp;H13*3)</f>
        <v/>
      </c>
    </row>
    <row r="14">
      <c r="A14" s="6" t="inlineStr">
        <is>
          <t>tower.tesla</t>
        </is>
      </c>
      <c r="B14" s="9" t="inlineStr">
        <is>
          <t>装置</t>
        </is>
      </c>
      <c r="C14" s="9" t="inlineStr">
        <is>
          <t>广场舞音响：基础造型，面朝右（朝左时游戏自动翻转）。可做动画：idle 待机 + fire 发射（JSON 标出 release 出手帧和 muzzle 出手点）</t>
        </is>
      </c>
      <c r="D14" s="9" t="inlineStr">
        <is>
          <t>P2</t>
        </is>
      </c>
      <c r="E14" s="8" t="inlineStr">
        <is>
          <t>art/tower.tesla.png</t>
        </is>
      </c>
      <c r="F14" s="8" t="inlineStr">
        <is>
          <t>art/tower.tesla.json</t>
        </is>
      </c>
      <c r="G14" s="7" t="n">
        <v>62.3</v>
      </c>
      <c r="H14" s="7" t="n">
        <v>55.5</v>
      </c>
      <c r="I14" s="7" t="n">
        <v>0.5</v>
      </c>
      <c r="J14" s="7" t="n">
        <v>0.92</v>
      </c>
      <c r="K14" s="7" t="n">
        <v>1</v>
      </c>
      <c r="L14" s="7" t="n">
        <v>0</v>
      </c>
      <c r="M14" s="7" t="n">
        <v>0</v>
      </c>
      <c r="N14" s="9">
        <f>IF(K14&gt;1,K14*G14*3&amp;" × "&amp;H14*3&amp;"（"&amp;K14&amp;" 帧横排）",G14*3&amp;" × "&amp;H14*3)</f>
        <v/>
      </c>
    </row>
    <row r="15">
      <c r="A15" s="6" t="inlineStr">
        <is>
          <t>tower.lure</t>
        </is>
      </c>
      <c r="B15" s="9" t="inlineStr">
        <is>
          <t>装置</t>
        </is>
      </c>
      <c r="C15" s="9" t="inlineStr">
        <is>
          <t>休闲诱惑站：基础造型，面朝右（朝左时游戏自动翻转）。可做动画：idle 待机 + fire 发射（JSON 标出 release 出手帧和 muzzle 出手点）</t>
        </is>
      </c>
      <c r="D15" s="9" t="inlineStr">
        <is>
          <t>P2</t>
        </is>
      </c>
      <c r="E15" s="8" t="inlineStr"/>
      <c r="F15" s="8" t="inlineStr"/>
      <c r="G15" s="7" t="n">
        <v>40</v>
      </c>
      <c r="H15" s="7" t="n">
        <v>50</v>
      </c>
      <c r="I15" s="7" t="n">
        <v>0.5</v>
      </c>
      <c r="J15" s="7" t="n">
        <v>0.92</v>
      </c>
      <c r="K15" s="7" t="n">
        <v>1</v>
      </c>
      <c r="L15" s="7" t="n">
        <v>0</v>
      </c>
      <c r="M15" s="7" t="n">
        <v>0</v>
      </c>
      <c r="N15" s="9">
        <f>IF(K15&gt;1,K15*G15*3&amp;" × "&amp;H15*3&amp;"（"&amp;K15&amp;" 帧横排）",G15*3&amp;" × "&amp;H15*3)</f>
        <v/>
      </c>
    </row>
    <row r="16">
      <c r="A16" s="6" t="inlineStr">
        <is>
          <t>tower.miner</t>
        </is>
      </c>
      <c r="B16" s="9" t="inlineStr">
        <is>
          <t>装置</t>
        </is>
      </c>
      <c r="C16" s="9" t="inlineStr">
        <is>
          <t>矿机：基础造型，面朝右（朝左时游戏自动翻转）。可做动画：idle 待机 + fire 发射（JSON 标出 release 出手帧和 muzzle 出手点）</t>
        </is>
      </c>
      <c r="D16" s="9" t="inlineStr">
        <is>
          <t>P2</t>
        </is>
      </c>
      <c r="E16" s="8" t="inlineStr"/>
      <c r="F16" s="8" t="inlineStr"/>
      <c r="G16" s="7" t="n">
        <v>40</v>
      </c>
      <c r="H16" s="7" t="n">
        <v>50</v>
      </c>
      <c r="I16" s="7" t="n">
        <v>0.5</v>
      </c>
      <c r="J16" s="7" t="n">
        <v>0.92</v>
      </c>
      <c r="K16" s="7" t="n">
        <v>1</v>
      </c>
      <c r="L16" s="7" t="n">
        <v>0</v>
      </c>
      <c r="M16" s="7" t="n">
        <v>0</v>
      </c>
      <c r="N16" s="9">
        <f>IF(K16&gt;1,K16*G16*3&amp;" × "&amp;H16*3&amp;"（"&amp;K16&amp;" 帧横排）",G16*3&amp;" × "&amp;H16*3)</f>
        <v/>
      </c>
    </row>
    <row r="17">
      <c r="A17" s="6" t="inlineStr">
        <is>
          <t>tower.dart.A3</t>
        </is>
      </c>
      <c r="B17" s="9" t="inlineStr">
        <is>
          <t>装置变种</t>
        </is>
      </c>
      <c r="C17" s="9" t="inlineStr">
        <is>
          <t>易拉罐投手「重罐点名」主路线 3 级起的造型（A3；没有 A4、A5 时沿用 A3）</t>
        </is>
      </c>
      <c r="D17" s="9" t="inlineStr">
        <is>
          <t>P2</t>
        </is>
      </c>
      <c r="E17" s="8" t="inlineStr">
        <is>
          <t>art/tower.dart.A3.png</t>
        </is>
      </c>
      <c r="F17" s="8" t="inlineStr">
        <is>
          <t>art/tower.dart.A3.json</t>
        </is>
      </c>
      <c r="G17" s="7" t="n">
        <v>44.6</v>
      </c>
      <c r="H17" s="7" t="n">
        <v>46.5</v>
      </c>
      <c r="I17" s="7" t="n">
        <v>0.5</v>
      </c>
      <c r="J17" s="7" t="n">
        <v>0.92</v>
      </c>
      <c r="K17" s="7" t="n">
        <v>1</v>
      </c>
      <c r="L17" s="7" t="n">
        <v>0</v>
      </c>
      <c r="M17" s="7" t="n">
        <v>0</v>
      </c>
      <c r="N17" s="9">
        <f>IF(K17&gt;1,K17*G17*3&amp;" × "&amp;H17*3&amp;"（"&amp;K17&amp;" 帧横排）",G17*3&amp;" × "&amp;H17*3)</f>
        <v/>
      </c>
    </row>
    <row r="18">
      <c r="A18" s="6" t="inlineStr">
        <is>
          <t>tower.dart.A6</t>
        </is>
      </c>
      <c r="B18" s="9" t="inlineStr">
        <is>
          <t>装置变种</t>
        </is>
      </c>
      <c r="C18" s="9" t="inlineStr">
        <is>
          <t>易拉罐投手「重罐点名」主路线 6 级起的造型（A6；没有 A4、A5 时沿用 A3）</t>
        </is>
      </c>
      <c r="D18" s="9" t="inlineStr">
        <is>
          <t>P3</t>
        </is>
      </c>
      <c r="E18" s="8" t="inlineStr">
        <is>
          <t>art/tower.dart.A6.png</t>
        </is>
      </c>
      <c r="F18" s="8" t="inlineStr">
        <is>
          <t>art/tower.dart.A6.json</t>
        </is>
      </c>
      <c r="G18" s="7" t="n">
        <v>62.8</v>
      </c>
      <c r="H18" s="7" t="n">
        <v>67.2</v>
      </c>
      <c r="I18" s="7" t="n">
        <v>0.5</v>
      </c>
      <c r="J18" s="7" t="n">
        <v>0.92</v>
      </c>
      <c r="K18" s="7" t="n">
        <v>1</v>
      </c>
      <c r="L18" s="7" t="n">
        <v>0</v>
      </c>
      <c r="M18" s="7" t="n">
        <v>0</v>
      </c>
      <c r="N18" s="9">
        <f>IF(K18&gt;1,K18*G18*3&amp;" × "&amp;H18*3&amp;"（"&amp;K18&amp;" 帧横排）",G18*3&amp;" × "&amp;H18*3)</f>
        <v/>
      </c>
    </row>
    <row r="19">
      <c r="A19" s="6" t="inlineStr">
        <is>
          <t>tower.dart.B3</t>
        </is>
      </c>
      <c r="B19" s="9" t="inlineStr">
        <is>
          <t>装置变种</t>
        </is>
      </c>
      <c r="C19" s="9" t="inlineStr">
        <is>
          <t>易拉罐投手「连罐速投」主路线 3 级起的造型（B3；没有 B4、B5 时沿用 B3）</t>
        </is>
      </c>
      <c r="D19" s="9" t="inlineStr">
        <is>
          <t>P2</t>
        </is>
      </c>
      <c r="E19" s="8" t="inlineStr"/>
      <c r="F19" s="8" t="inlineStr"/>
      <c r="G19" s="7" t="n">
        <v>44</v>
      </c>
      <c r="H19" s="7" t="n">
        <v>54</v>
      </c>
      <c r="I19" s="7" t="n">
        <v>0.5</v>
      </c>
      <c r="J19" s="7" t="n">
        <v>0.92</v>
      </c>
      <c r="K19" s="7" t="n">
        <v>1</v>
      </c>
      <c r="L19" s="7" t="n">
        <v>0</v>
      </c>
      <c r="M19" s="7" t="n">
        <v>0</v>
      </c>
      <c r="N19" s="9">
        <f>IF(K19&gt;1,K19*G19*3&amp;" × "&amp;H19*3&amp;"（"&amp;K19&amp;" 帧横排）",G19*3&amp;" × "&amp;H19*3)</f>
        <v/>
      </c>
    </row>
    <row r="20">
      <c r="A20" s="6" t="inlineStr">
        <is>
          <t>tower.dart.B6</t>
        </is>
      </c>
      <c r="B20" s="9" t="inlineStr">
        <is>
          <t>装置变种</t>
        </is>
      </c>
      <c r="C20" s="9" t="inlineStr">
        <is>
          <t>易拉罐投手「连罐速投」主路线 6 级起的造型（B6；没有 B4、B5 时沿用 B3）</t>
        </is>
      </c>
      <c r="D20" s="9" t="inlineStr">
        <is>
          <t>P3</t>
        </is>
      </c>
      <c r="E20" s="8" t="inlineStr"/>
      <c r="F20" s="8" t="inlineStr"/>
      <c r="G20" s="7" t="n">
        <v>48</v>
      </c>
      <c r="H20" s="7" t="n">
        <v>58</v>
      </c>
      <c r="I20" s="7" t="n">
        <v>0.5</v>
      </c>
      <c r="J20" s="7" t="n">
        <v>0.92</v>
      </c>
      <c r="K20" s="7" t="n">
        <v>1</v>
      </c>
      <c r="L20" s="7" t="n">
        <v>0</v>
      </c>
      <c r="M20" s="7" t="n">
        <v>0</v>
      </c>
      <c r="N20" s="9">
        <f>IF(K20&gt;1,K20*G20*3&amp;" × "&amp;H20*3&amp;"（"&amp;K20&amp;" 帧横排）",G20*3&amp;" × "&amp;H20*3)</f>
        <v/>
      </c>
    </row>
    <row r="21">
      <c r="A21" s="6" t="inlineStr">
        <is>
          <t>tower.dart.C3</t>
        </is>
      </c>
      <c r="B21" s="9" t="inlineStr">
        <is>
          <t>装置变种</t>
        </is>
      </c>
      <c r="C21" s="9" t="inlineStr">
        <is>
          <t>易拉罐投手「弱点点名」主路线 3 级起的造型（C3；没有 C4、C5 时沿用 C3）</t>
        </is>
      </c>
      <c r="D21" s="9" t="inlineStr">
        <is>
          <t>P2</t>
        </is>
      </c>
      <c r="E21" s="8" t="inlineStr"/>
      <c r="F21" s="8" t="inlineStr"/>
      <c r="G21" s="7" t="n">
        <v>44</v>
      </c>
      <c r="H21" s="7" t="n">
        <v>54</v>
      </c>
      <c r="I21" s="7" t="n">
        <v>0.5</v>
      </c>
      <c r="J21" s="7" t="n">
        <v>0.92</v>
      </c>
      <c r="K21" s="7" t="n">
        <v>1</v>
      </c>
      <c r="L21" s="7" t="n">
        <v>0</v>
      </c>
      <c r="M21" s="7" t="n">
        <v>0</v>
      </c>
      <c r="N21" s="9">
        <f>IF(K21&gt;1,K21*G21*3&amp;" × "&amp;H21*3&amp;"（"&amp;K21&amp;" 帧横排）",G21*3&amp;" × "&amp;H21*3)</f>
        <v/>
      </c>
    </row>
    <row r="22">
      <c r="A22" s="6" t="inlineStr">
        <is>
          <t>tower.dart.C6</t>
        </is>
      </c>
      <c r="B22" s="9" t="inlineStr">
        <is>
          <t>装置变种</t>
        </is>
      </c>
      <c r="C22" s="9" t="inlineStr">
        <is>
          <t>易拉罐投手「弱点点名」主路线 6 级起的造型（C6；没有 C4、C5 时沿用 C3）</t>
        </is>
      </c>
      <c r="D22" s="9" t="inlineStr">
        <is>
          <t>P3</t>
        </is>
      </c>
      <c r="E22" s="8" t="inlineStr"/>
      <c r="F22" s="8" t="inlineStr"/>
      <c r="G22" s="7" t="n">
        <v>48</v>
      </c>
      <c r="H22" s="7" t="n">
        <v>58</v>
      </c>
      <c r="I22" s="7" t="n">
        <v>0.5</v>
      </c>
      <c r="J22" s="7" t="n">
        <v>0.92</v>
      </c>
      <c r="K22" s="7" t="n">
        <v>1</v>
      </c>
      <c r="L22" s="7" t="n">
        <v>0</v>
      </c>
      <c r="M22" s="7" t="n">
        <v>0</v>
      </c>
      <c r="N22" s="9">
        <f>IF(K22&gt;1,K22*G22*3&amp;" × "&amp;H22*3&amp;"（"&amp;K22&amp;" 帧横排）",G22*3&amp;" × "&amp;H22*3)</f>
        <v/>
      </c>
    </row>
    <row r="23">
      <c r="A23" s="6" t="inlineStr">
        <is>
          <t>tower.bomb.A3</t>
        </is>
      </c>
      <c r="B23" s="9" t="inlineStr">
        <is>
          <t>装置变种</t>
        </is>
      </c>
      <c r="C23" s="9" t="inlineStr">
        <is>
          <t>香蕉皮投手「大片撒皮」主路线 3 级起的造型（A3；没有 A4、A5 时沿用 A3）</t>
        </is>
      </c>
      <c r="D23" s="9" t="inlineStr">
        <is>
          <t>P2</t>
        </is>
      </c>
      <c r="E23" s="8" t="inlineStr"/>
      <c r="F23" s="8" t="inlineStr"/>
      <c r="G23" s="7" t="n">
        <v>44</v>
      </c>
      <c r="H23" s="7" t="n">
        <v>54</v>
      </c>
      <c r="I23" s="7" t="n">
        <v>0.5</v>
      </c>
      <c r="J23" s="7" t="n">
        <v>0.92</v>
      </c>
      <c r="K23" s="7" t="n">
        <v>1</v>
      </c>
      <c r="L23" s="7" t="n">
        <v>0</v>
      </c>
      <c r="M23" s="7" t="n">
        <v>0</v>
      </c>
      <c r="N23" s="9">
        <f>IF(K23&gt;1,K23*G23*3&amp;" × "&amp;H23*3&amp;"（"&amp;K23&amp;" 帧横排）",G23*3&amp;" × "&amp;H23*3)</f>
        <v/>
      </c>
    </row>
    <row r="24">
      <c r="A24" s="6" t="inlineStr">
        <is>
          <t>tower.bomb.A6</t>
        </is>
      </c>
      <c r="B24" s="9" t="inlineStr">
        <is>
          <t>装置变种</t>
        </is>
      </c>
      <c r="C24" s="9" t="inlineStr">
        <is>
          <t>香蕉皮投手「大片撒皮」主路线 6 级起的造型（A6；没有 A4、A5 时沿用 A3）</t>
        </is>
      </c>
      <c r="D24" s="9" t="inlineStr">
        <is>
          <t>P3</t>
        </is>
      </c>
      <c r="E24" s="8" t="inlineStr"/>
      <c r="F24" s="8" t="inlineStr"/>
      <c r="G24" s="7" t="n">
        <v>48</v>
      </c>
      <c r="H24" s="7" t="n">
        <v>58</v>
      </c>
      <c r="I24" s="7" t="n">
        <v>0.5</v>
      </c>
      <c r="J24" s="7" t="n">
        <v>0.92</v>
      </c>
      <c r="K24" s="7" t="n">
        <v>1</v>
      </c>
      <c r="L24" s="7" t="n">
        <v>0</v>
      </c>
      <c r="M24" s="7" t="n">
        <v>0</v>
      </c>
      <c r="N24" s="9">
        <f>IF(K24&gt;1,K24*G24*3&amp;" × "&amp;H24*3&amp;"（"&amp;K24&amp;" 帧横排）",G24*3&amp;" × "&amp;H24*3)</f>
        <v/>
      </c>
    </row>
    <row r="25">
      <c r="A25" s="6" t="inlineStr">
        <is>
          <t>tower.bomb.B3</t>
        </is>
      </c>
      <c r="B25" s="9" t="inlineStr">
        <is>
          <t>装置变种</t>
        </is>
      </c>
      <c r="C25" s="9" t="inlineStr">
        <is>
          <t>香蕉皮投手「滑行连撞」主路线 3 级起的造型（B3；没有 B4、B5 时沿用 B3）</t>
        </is>
      </c>
      <c r="D25" s="9" t="inlineStr">
        <is>
          <t>P2</t>
        </is>
      </c>
      <c r="E25" s="8" t="inlineStr"/>
      <c r="F25" s="8" t="inlineStr"/>
      <c r="G25" s="7" t="n">
        <v>44</v>
      </c>
      <c r="H25" s="7" t="n">
        <v>54</v>
      </c>
      <c r="I25" s="7" t="n">
        <v>0.5</v>
      </c>
      <c r="J25" s="7" t="n">
        <v>0.92</v>
      </c>
      <c r="K25" s="7" t="n">
        <v>1</v>
      </c>
      <c r="L25" s="7" t="n">
        <v>0</v>
      </c>
      <c r="M25" s="7" t="n">
        <v>0</v>
      </c>
      <c r="N25" s="9">
        <f>IF(K25&gt;1,K25*G25*3&amp;" × "&amp;H25*3&amp;"（"&amp;K25&amp;" 帧横排）",G25*3&amp;" × "&amp;H25*3)</f>
        <v/>
      </c>
    </row>
    <row r="26">
      <c r="A26" s="6" t="inlineStr">
        <is>
          <t>tower.bomb.B6</t>
        </is>
      </c>
      <c r="B26" s="9" t="inlineStr">
        <is>
          <t>装置变种</t>
        </is>
      </c>
      <c r="C26" s="9" t="inlineStr">
        <is>
          <t>香蕉皮投手「滑行连撞」主路线 6 级起的造型（B6；没有 B4、B5 时沿用 B3）</t>
        </is>
      </c>
      <c r="D26" s="9" t="inlineStr">
        <is>
          <t>P3</t>
        </is>
      </c>
      <c r="E26" s="8" t="inlineStr"/>
      <c r="F26" s="8" t="inlineStr"/>
      <c r="G26" s="7" t="n">
        <v>48</v>
      </c>
      <c r="H26" s="7" t="n">
        <v>58</v>
      </c>
      <c r="I26" s="7" t="n">
        <v>0.5</v>
      </c>
      <c r="J26" s="7" t="n">
        <v>0.92</v>
      </c>
      <c r="K26" s="7" t="n">
        <v>1</v>
      </c>
      <c r="L26" s="7" t="n">
        <v>0</v>
      </c>
      <c r="M26" s="7" t="n">
        <v>0</v>
      </c>
      <c r="N26" s="9">
        <f>IF(K26&gt;1,K26*G26*3&amp;" × "&amp;H26*3&amp;"（"&amp;K26&amp;" 帧横排）",G26*3&amp;" × "&amp;H26*3)</f>
        <v/>
      </c>
    </row>
    <row r="27">
      <c r="A27" s="6" t="inlineStr">
        <is>
          <t>tower.bomb.C3</t>
        </is>
      </c>
      <c r="B27" s="9" t="inlineStr">
        <is>
          <t>装置变种</t>
        </is>
      </c>
      <c r="C27" s="9" t="inlineStr">
        <is>
          <t>香蕉皮投手「预埋皮阵」主路线 3 级起的造型（C3；没有 C4、C5 时沿用 C3）</t>
        </is>
      </c>
      <c r="D27" s="9" t="inlineStr">
        <is>
          <t>P2</t>
        </is>
      </c>
      <c r="E27" s="8" t="inlineStr"/>
      <c r="F27" s="8" t="inlineStr"/>
      <c r="G27" s="7" t="n">
        <v>44</v>
      </c>
      <c r="H27" s="7" t="n">
        <v>54</v>
      </c>
      <c r="I27" s="7" t="n">
        <v>0.5</v>
      </c>
      <c r="J27" s="7" t="n">
        <v>0.92</v>
      </c>
      <c r="K27" s="7" t="n">
        <v>1</v>
      </c>
      <c r="L27" s="7" t="n">
        <v>0</v>
      </c>
      <c r="M27" s="7" t="n">
        <v>0</v>
      </c>
      <c r="N27" s="9">
        <f>IF(K27&gt;1,K27*G27*3&amp;" × "&amp;H27*3&amp;"（"&amp;K27&amp;" 帧横排）",G27*3&amp;" × "&amp;H27*3)</f>
        <v/>
      </c>
    </row>
    <row r="28">
      <c r="A28" s="6" t="inlineStr">
        <is>
          <t>tower.bomb.C6</t>
        </is>
      </c>
      <c r="B28" s="9" t="inlineStr">
        <is>
          <t>装置变种</t>
        </is>
      </c>
      <c r="C28" s="9" t="inlineStr">
        <is>
          <t>香蕉皮投手「预埋皮阵」主路线 6 级起的造型（C6；没有 C4、C5 时沿用 C3）</t>
        </is>
      </c>
      <c r="D28" s="9" t="inlineStr">
        <is>
          <t>P3</t>
        </is>
      </c>
      <c r="E28" s="8" t="inlineStr"/>
      <c r="F28" s="8" t="inlineStr"/>
      <c r="G28" s="7" t="n">
        <v>48</v>
      </c>
      <c r="H28" s="7" t="n">
        <v>58</v>
      </c>
      <c r="I28" s="7" t="n">
        <v>0.5</v>
      </c>
      <c r="J28" s="7" t="n">
        <v>0.92</v>
      </c>
      <c r="K28" s="7" t="n">
        <v>1</v>
      </c>
      <c r="L28" s="7" t="n">
        <v>0</v>
      </c>
      <c r="M28" s="7" t="n">
        <v>0</v>
      </c>
      <c r="N28" s="9">
        <f>IF(K28&gt;1,K28*G28*3&amp;" × "&amp;H28*3&amp;"（"&amp;K28&amp;" 帧横排）",G28*3&amp;" × "&amp;H28*3)</f>
        <v/>
      </c>
    </row>
    <row r="29">
      <c r="A29" s="6" t="inlineStr">
        <is>
          <t>tower.frost.A3</t>
        </is>
      </c>
      <c r="B29" s="9" t="inlineStr">
        <is>
          <t>装置变种</t>
        </is>
      </c>
      <c r="C29" s="9" t="inlineStr">
        <is>
          <t>洒水器「喷淋湿地」主路线 3 级起的造型（A3；没有 A4、A5 时沿用 A3）</t>
        </is>
      </c>
      <c r="D29" s="9" t="inlineStr">
        <is>
          <t>P2</t>
        </is>
      </c>
      <c r="E29" s="8" t="inlineStr"/>
      <c r="F29" s="8" t="inlineStr"/>
      <c r="G29" s="7" t="n">
        <v>44</v>
      </c>
      <c r="H29" s="7" t="n">
        <v>54</v>
      </c>
      <c r="I29" s="7" t="n">
        <v>0.5</v>
      </c>
      <c r="J29" s="7" t="n">
        <v>0.92</v>
      </c>
      <c r="K29" s="7" t="n">
        <v>1</v>
      </c>
      <c r="L29" s="7" t="n">
        <v>0</v>
      </c>
      <c r="M29" s="7" t="n">
        <v>0</v>
      </c>
      <c r="N29" s="9">
        <f>IF(K29&gt;1,K29*G29*3&amp;" × "&amp;H29*3&amp;"（"&amp;K29&amp;" 帧横排）",G29*3&amp;" × "&amp;H29*3)</f>
        <v/>
      </c>
    </row>
    <row r="30">
      <c r="A30" s="6" t="inlineStr">
        <is>
          <t>tower.frost.A6</t>
        </is>
      </c>
      <c r="B30" s="9" t="inlineStr">
        <is>
          <t>装置变种</t>
        </is>
      </c>
      <c r="C30" s="9" t="inlineStr">
        <is>
          <t>洒水器「喷淋湿地」主路线 6 级起的造型（A6；没有 A4、A5 时沿用 A3）</t>
        </is>
      </c>
      <c r="D30" s="9" t="inlineStr">
        <is>
          <t>P3</t>
        </is>
      </c>
      <c r="E30" s="8" t="inlineStr"/>
      <c r="F30" s="8" t="inlineStr"/>
      <c r="G30" s="7" t="n">
        <v>48</v>
      </c>
      <c r="H30" s="7" t="n">
        <v>58</v>
      </c>
      <c r="I30" s="7" t="n">
        <v>0.5</v>
      </c>
      <c r="J30" s="7" t="n">
        <v>0.92</v>
      </c>
      <c r="K30" s="7" t="n">
        <v>1</v>
      </c>
      <c r="L30" s="7" t="n">
        <v>0</v>
      </c>
      <c r="M30" s="7" t="n">
        <v>0</v>
      </c>
      <c r="N30" s="9">
        <f>IF(K30&gt;1,K30*G30*3&amp;" × "&amp;H30*3&amp;"（"&amp;K30&amp;" 帧横排）",G30*3&amp;" × "&amp;H30*3)</f>
        <v/>
      </c>
    </row>
    <row r="31">
      <c r="A31" s="6" t="inlineStr">
        <is>
          <t>tower.frost.B3</t>
        </is>
      </c>
      <c r="B31" s="9" t="inlineStr">
        <is>
          <t>装置变种</t>
        </is>
      </c>
      <c r="C31" s="9" t="inlineStr">
        <is>
          <t>洒水器「寒霜喷头」主路线 3 级起的造型（B3；没有 B4、B5 时沿用 B3）</t>
        </is>
      </c>
      <c r="D31" s="9" t="inlineStr">
        <is>
          <t>P2</t>
        </is>
      </c>
      <c r="E31" s="8" t="inlineStr"/>
      <c r="F31" s="8" t="inlineStr"/>
      <c r="G31" s="7" t="n">
        <v>44</v>
      </c>
      <c r="H31" s="7" t="n">
        <v>54</v>
      </c>
      <c r="I31" s="7" t="n">
        <v>0.5</v>
      </c>
      <c r="J31" s="7" t="n">
        <v>0.92</v>
      </c>
      <c r="K31" s="7" t="n">
        <v>1</v>
      </c>
      <c r="L31" s="7" t="n">
        <v>0</v>
      </c>
      <c r="M31" s="7" t="n">
        <v>0</v>
      </c>
      <c r="N31" s="9">
        <f>IF(K31&gt;1,K31*G31*3&amp;" × "&amp;H31*3&amp;"（"&amp;K31&amp;" 帧横排）",G31*3&amp;" × "&amp;H31*3)</f>
        <v/>
      </c>
    </row>
    <row r="32">
      <c r="A32" s="6" t="inlineStr">
        <is>
          <t>tower.frost.B6</t>
        </is>
      </c>
      <c r="B32" s="9" t="inlineStr">
        <is>
          <t>装置变种</t>
        </is>
      </c>
      <c r="C32" s="9" t="inlineStr">
        <is>
          <t>洒水器「寒霜喷头」主路线 6 级起的造型（B6；没有 B4、B5 时沿用 B3）</t>
        </is>
      </c>
      <c r="D32" s="9" t="inlineStr">
        <is>
          <t>P3</t>
        </is>
      </c>
      <c r="E32" s="8" t="inlineStr"/>
      <c r="F32" s="8" t="inlineStr"/>
      <c r="G32" s="7" t="n">
        <v>48</v>
      </c>
      <c r="H32" s="7" t="n">
        <v>58</v>
      </c>
      <c r="I32" s="7" t="n">
        <v>0.5</v>
      </c>
      <c r="J32" s="7" t="n">
        <v>0.92</v>
      </c>
      <c r="K32" s="7" t="n">
        <v>1</v>
      </c>
      <c r="L32" s="7" t="n">
        <v>0</v>
      </c>
      <c r="M32" s="7" t="n">
        <v>0</v>
      </c>
      <c r="N32" s="9">
        <f>IF(K32&gt;1,K32*G32*3&amp;" × "&amp;H32*3&amp;"（"&amp;K32&amp;" 帧横排）",G32*3&amp;" × "&amp;H32*3)</f>
        <v/>
      </c>
    </row>
    <row r="33">
      <c r="A33" s="6" t="inlineStr">
        <is>
          <t>tower.frost.C3</t>
        </is>
      </c>
      <c r="B33" s="9" t="inlineStr">
        <is>
          <t>装置变种</t>
        </is>
      </c>
      <c r="C33" s="9" t="inlineStr">
        <is>
          <t>洒水器「高压水柱」主路线 3 级起的造型（C3；没有 C4、C5 时沿用 C3）</t>
        </is>
      </c>
      <c r="D33" s="9" t="inlineStr">
        <is>
          <t>P2</t>
        </is>
      </c>
      <c r="E33" s="8" t="inlineStr"/>
      <c r="F33" s="8" t="inlineStr"/>
      <c r="G33" s="7" t="n">
        <v>44</v>
      </c>
      <c r="H33" s="7" t="n">
        <v>54</v>
      </c>
      <c r="I33" s="7" t="n">
        <v>0.5</v>
      </c>
      <c r="J33" s="7" t="n">
        <v>0.92</v>
      </c>
      <c r="K33" s="7" t="n">
        <v>1</v>
      </c>
      <c r="L33" s="7" t="n">
        <v>0</v>
      </c>
      <c r="M33" s="7" t="n">
        <v>0</v>
      </c>
      <c r="N33" s="9">
        <f>IF(K33&gt;1,K33*G33*3&amp;" × "&amp;H33*3&amp;"（"&amp;K33&amp;" 帧横排）",G33*3&amp;" × "&amp;H33*3)</f>
        <v/>
      </c>
    </row>
    <row r="34">
      <c r="A34" s="6" t="inlineStr">
        <is>
          <t>tower.frost.C6</t>
        </is>
      </c>
      <c r="B34" s="9" t="inlineStr">
        <is>
          <t>装置变种</t>
        </is>
      </c>
      <c r="C34" s="9" t="inlineStr">
        <is>
          <t>洒水器「高压水柱」主路线 6 级起的造型（C6；没有 C4、C5 时沿用 C3）</t>
        </is>
      </c>
      <c r="D34" s="9" t="inlineStr">
        <is>
          <t>P3</t>
        </is>
      </c>
      <c r="E34" s="8" t="inlineStr"/>
      <c r="F34" s="8" t="inlineStr"/>
      <c r="G34" s="7" t="n">
        <v>48</v>
      </c>
      <c r="H34" s="7" t="n">
        <v>58</v>
      </c>
      <c r="I34" s="7" t="n">
        <v>0.5</v>
      </c>
      <c r="J34" s="7" t="n">
        <v>0.92</v>
      </c>
      <c r="K34" s="7" t="n">
        <v>1</v>
      </c>
      <c r="L34" s="7" t="n">
        <v>0</v>
      </c>
      <c r="M34" s="7" t="n">
        <v>0</v>
      </c>
      <c r="N34" s="9">
        <f>IF(K34&gt;1,K34*G34*3&amp;" × "&amp;H34*3&amp;"（"&amp;K34&amp;" 帧横排）",G34*3&amp;" × "&amp;H34*3)</f>
        <v/>
      </c>
    </row>
    <row r="35">
      <c r="A35" s="6" t="inlineStr">
        <is>
          <t>tower.truck.A3</t>
        </is>
      </c>
      <c r="B35" s="9" t="inlineStr">
        <is>
          <t>装置变种</t>
        </is>
      </c>
      <c r="C35" s="9" t="inlineStr">
        <is>
          <t>洒水车「巡街」主路线 3 级起的造型（A3；没有 A4、A5 时沿用 A3）</t>
        </is>
      </c>
      <c r="D35" s="9" t="inlineStr">
        <is>
          <t>P2</t>
        </is>
      </c>
      <c r="E35" s="8" t="inlineStr"/>
      <c r="F35" s="8" t="inlineStr"/>
      <c r="G35" s="7" t="n">
        <v>44</v>
      </c>
      <c r="H35" s="7" t="n">
        <v>54</v>
      </c>
      <c r="I35" s="7" t="n">
        <v>0.5</v>
      </c>
      <c r="J35" s="7" t="n">
        <v>0.92</v>
      </c>
      <c r="K35" s="7" t="n">
        <v>1</v>
      </c>
      <c r="L35" s="7" t="n">
        <v>0</v>
      </c>
      <c r="M35" s="7" t="n">
        <v>0</v>
      </c>
      <c r="N35" s="9">
        <f>IF(K35&gt;1,K35*G35*3&amp;" × "&amp;H35*3&amp;"（"&amp;K35&amp;" 帧横排）",G35*3&amp;" × "&amp;H35*3)</f>
        <v/>
      </c>
    </row>
    <row r="36">
      <c r="A36" s="6" t="inlineStr">
        <is>
          <t>tower.truck.A6</t>
        </is>
      </c>
      <c r="B36" s="9" t="inlineStr">
        <is>
          <t>装置变种</t>
        </is>
      </c>
      <c r="C36" s="9" t="inlineStr">
        <is>
          <t>洒水车「巡街」主路线 6 级起的造型（A6；没有 A4、A5 时沿用 A3）</t>
        </is>
      </c>
      <c r="D36" s="9" t="inlineStr">
        <is>
          <t>P3</t>
        </is>
      </c>
      <c r="E36" s="8" t="inlineStr"/>
      <c r="F36" s="8" t="inlineStr"/>
      <c r="G36" s="7" t="n">
        <v>48</v>
      </c>
      <c r="H36" s="7" t="n">
        <v>58</v>
      </c>
      <c r="I36" s="7" t="n">
        <v>0.5</v>
      </c>
      <c r="J36" s="7" t="n">
        <v>0.92</v>
      </c>
      <c r="K36" s="7" t="n">
        <v>1</v>
      </c>
      <c r="L36" s="7" t="n">
        <v>0</v>
      </c>
      <c r="M36" s="7" t="n">
        <v>0</v>
      </c>
      <c r="N36" s="9">
        <f>IF(K36&gt;1,K36*G36*3&amp;" × "&amp;H36*3&amp;"（"&amp;K36&amp;" 帧横排）",G36*3&amp;" × "&amp;H36*3)</f>
        <v/>
      </c>
    </row>
    <row r="37">
      <c r="A37" s="6" t="inlineStr">
        <is>
          <t>tower.truck.B3</t>
        </is>
      </c>
      <c r="B37" s="9" t="inlineStr">
        <is>
          <t>装置变种</t>
        </is>
      </c>
      <c r="C37" s="9" t="inlineStr">
        <is>
          <t>洒水车「冷链罐车」主路线 3 级起的造型（B3；没有 B4、B5 时沿用 B3）</t>
        </is>
      </c>
      <c r="D37" s="9" t="inlineStr">
        <is>
          <t>P2</t>
        </is>
      </c>
      <c r="E37" s="8" t="inlineStr"/>
      <c r="F37" s="8" t="inlineStr"/>
      <c r="G37" s="7" t="n">
        <v>44</v>
      </c>
      <c r="H37" s="7" t="n">
        <v>54</v>
      </c>
      <c r="I37" s="7" t="n">
        <v>0.5</v>
      </c>
      <c r="J37" s="7" t="n">
        <v>0.92</v>
      </c>
      <c r="K37" s="7" t="n">
        <v>1</v>
      </c>
      <c r="L37" s="7" t="n">
        <v>0</v>
      </c>
      <c r="M37" s="7" t="n">
        <v>0</v>
      </c>
      <c r="N37" s="9">
        <f>IF(K37&gt;1,K37*G37*3&amp;" × "&amp;H37*3&amp;"（"&amp;K37&amp;" 帧横排）",G37*3&amp;" × "&amp;H37*3)</f>
        <v/>
      </c>
    </row>
    <row r="38">
      <c r="A38" s="6" t="inlineStr">
        <is>
          <t>tower.truck.B6</t>
        </is>
      </c>
      <c r="B38" s="9" t="inlineStr">
        <is>
          <t>装置变种</t>
        </is>
      </c>
      <c r="C38" s="9" t="inlineStr">
        <is>
          <t>洒水车「冷链罐车」主路线 6 级起的造型（B6；没有 B4、B5 时沿用 B3）</t>
        </is>
      </c>
      <c r="D38" s="9" t="inlineStr">
        <is>
          <t>P3</t>
        </is>
      </c>
      <c r="E38" s="8" t="inlineStr"/>
      <c r="F38" s="8" t="inlineStr"/>
      <c r="G38" s="7" t="n">
        <v>48</v>
      </c>
      <c r="H38" s="7" t="n">
        <v>58</v>
      </c>
      <c r="I38" s="7" t="n">
        <v>0.5</v>
      </c>
      <c r="J38" s="7" t="n">
        <v>0.92</v>
      </c>
      <c r="K38" s="7" t="n">
        <v>1</v>
      </c>
      <c r="L38" s="7" t="n">
        <v>0</v>
      </c>
      <c r="M38" s="7" t="n">
        <v>0</v>
      </c>
      <c r="N38" s="9">
        <f>IF(K38&gt;1,K38*G38*3&amp;" × "&amp;H38*3&amp;"（"&amp;K38&amp;" 帧横排）",G38*3&amp;" × "&amp;H38*3)</f>
        <v/>
      </c>
    </row>
    <row r="39">
      <c r="A39" s="6" t="inlineStr">
        <is>
          <t>tower.truck.C3</t>
        </is>
      </c>
      <c r="B39" s="9" t="inlineStr">
        <is>
          <t>装置变种</t>
        </is>
      </c>
      <c r="C39" s="9" t="inlineStr">
        <is>
          <t>洒水车「高压水炮」主路线 3 级起的造型（C3；没有 C4、C5 时沿用 C3）</t>
        </is>
      </c>
      <c r="D39" s="9" t="inlineStr">
        <is>
          <t>P2</t>
        </is>
      </c>
      <c r="E39" s="8" t="inlineStr"/>
      <c r="F39" s="8" t="inlineStr"/>
      <c r="G39" s="7" t="n">
        <v>44</v>
      </c>
      <c r="H39" s="7" t="n">
        <v>54</v>
      </c>
      <c r="I39" s="7" t="n">
        <v>0.5</v>
      </c>
      <c r="J39" s="7" t="n">
        <v>0.92</v>
      </c>
      <c r="K39" s="7" t="n">
        <v>1</v>
      </c>
      <c r="L39" s="7" t="n">
        <v>0</v>
      </c>
      <c r="M39" s="7" t="n">
        <v>0</v>
      </c>
      <c r="N39" s="9">
        <f>IF(K39&gt;1,K39*G39*3&amp;" × "&amp;H39*3&amp;"（"&amp;K39&amp;" 帧横排）",G39*3&amp;" × "&amp;H39*3)</f>
        <v/>
      </c>
    </row>
    <row r="40">
      <c r="A40" s="6" t="inlineStr">
        <is>
          <t>tower.truck.C6</t>
        </is>
      </c>
      <c r="B40" s="9" t="inlineStr">
        <is>
          <t>装置变种</t>
        </is>
      </c>
      <c r="C40" s="9" t="inlineStr">
        <is>
          <t>洒水车「高压水炮」主路线 6 级起的造型（C6；没有 C4、C5 时沿用 C3）</t>
        </is>
      </c>
      <c r="D40" s="9" t="inlineStr">
        <is>
          <t>P3</t>
        </is>
      </c>
      <c r="E40" s="8" t="inlineStr"/>
      <c r="F40" s="8" t="inlineStr"/>
      <c r="G40" s="7" t="n">
        <v>48</v>
      </c>
      <c r="H40" s="7" t="n">
        <v>58</v>
      </c>
      <c r="I40" s="7" t="n">
        <v>0.5</v>
      </c>
      <c r="J40" s="7" t="n">
        <v>0.92</v>
      </c>
      <c r="K40" s="7" t="n">
        <v>1</v>
      </c>
      <c r="L40" s="7" t="n">
        <v>0</v>
      </c>
      <c r="M40" s="7" t="n">
        <v>0</v>
      </c>
      <c r="N40" s="9">
        <f>IF(K40&gt;1,K40*G40*3&amp;" × "&amp;H40*3&amp;"（"&amp;K40&amp;" 帧横排）",G40*3&amp;" × "&amp;H40*3)</f>
        <v/>
      </c>
    </row>
    <row r="41">
      <c r="A41" s="6" t="inlineStr">
        <is>
          <t>tower.sniper.A3</t>
        </is>
      </c>
      <c r="B41" s="9" t="inlineStr">
        <is>
          <t>装置变种</t>
        </is>
      </c>
      <c r="C41" s="9" t="inlineStr">
        <is>
          <t>鞋盒无人机「精准重箱」主路线 3 级起的造型（A3；没有 A4、A5 时沿用 A3）</t>
        </is>
      </c>
      <c r="D41" s="9" t="inlineStr">
        <is>
          <t>P2</t>
        </is>
      </c>
      <c r="E41" s="8" t="inlineStr"/>
      <c r="F41" s="8" t="inlineStr"/>
      <c r="G41" s="7" t="n">
        <v>44</v>
      </c>
      <c r="H41" s="7" t="n">
        <v>54</v>
      </c>
      <c r="I41" s="7" t="n">
        <v>0.5</v>
      </c>
      <c r="J41" s="7" t="n">
        <v>0.92</v>
      </c>
      <c r="K41" s="7" t="n">
        <v>1</v>
      </c>
      <c r="L41" s="7" t="n">
        <v>0</v>
      </c>
      <c r="M41" s="7" t="n">
        <v>0</v>
      </c>
      <c r="N41" s="9">
        <f>IF(K41&gt;1,K41*G41*3&amp;" × "&amp;H41*3&amp;"（"&amp;K41&amp;" 帧横排）",G41*3&amp;" × "&amp;H41*3)</f>
        <v/>
      </c>
    </row>
    <row r="42">
      <c r="A42" s="6" t="inlineStr">
        <is>
          <t>tower.sniper.A6</t>
        </is>
      </c>
      <c r="B42" s="9" t="inlineStr">
        <is>
          <t>装置变种</t>
        </is>
      </c>
      <c r="C42" s="9" t="inlineStr">
        <is>
          <t>鞋盒无人机「精准重箱」主路线 6 级起的造型（A6；没有 A4、A5 时沿用 A3）</t>
        </is>
      </c>
      <c r="D42" s="9" t="inlineStr">
        <is>
          <t>P3</t>
        </is>
      </c>
      <c r="E42" s="8" t="inlineStr"/>
      <c r="F42" s="8" t="inlineStr"/>
      <c r="G42" s="7" t="n">
        <v>48</v>
      </c>
      <c r="H42" s="7" t="n">
        <v>58</v>
      </c>
      <c r="I42" s="7" t="n">
        <v>0.5</v>
      </c>
      <c r="J42" s="7" t="n">
        <v>0.92</v>
      </c>
      <c r="K42" s="7" t="n">
        <v>1</v>
      </c>
      <c r="L42" s="7" t="n">
        <v>0</v>
      </c>
      <c r="M42" s="7" t="n">
        <v>0</v>
      </c>
      <c r="N42" s="9">
        <f>IF(K42&gt;1,K42*G42*3&amp;" × "&amp;H42*3&amp;"（"&amp;K42&amp;" 帧横排）",G42*3&amp;" × "&amp;H42*3)</f>
        <v/>
      </c>
    </row>
    <row r="43">
      <c r="A43" s="6" t="inlineStr">
        <is>
          <t>tower.sniper.B3</t>
        </is>
      </c>
      <c r="B43" s="9" t="inlineStr">
        <is>
          <t>装置变种</t>
        </is>
      </c>
      <c r="C43" s="9" t="inlineStr">
        <is>
          <t>鞋盒无人机「批量配送」主路线 3 级起的造型（B3；没有 B4、B5 时沿用 B3）</t>
        </is>
      </c>
      <c r="D43" s="9" t="inlineStr">
        <is>
          <t>P2</t>
        </is>
      </c>
      <c r="E43" s="8" t="inlineStr"/>
      <c r="F43" s="8" t="inlineStr"/>
      <c r="G43" s="7" t="n">
        <v>44</v>
      </c>
      <c r="H43" s="7" t="n">
        <v>54</v>
      </c>
      <c r="I43" s="7" t="n">
        <v>0.5</v>
      </c>
      <c r="J43" s="7" t="n">
        <v>0.92</v>
      </c>
      <c r="K43" s="7" t="n">
        <v>1</v>
      </c>
      <c r="L43" s="7" t="n">
        <v>0</v>
      </c>
      <c r="M43" s="7" t="n">
        <v>0</v>
      </c>
      <c r="N43" s="9">
        <f>IF(K43&gt;1,K43*G43*3&amp;" × "&amp;H43*3&amp;"（"&amp;K43&amp;" 帧横排）",G43*3&amp;" × "&amp;H43*3)</f>
        <v/>
      </c>
    </row>
    <row r="44">
      <c r="A44" s="6" t="inlineStr">
        <is>
          <t>tower.sniper.B6</t>
        </is>
      </c>
      <c r="B44" s="9" t="inlineStr">
        <is>
          <t>装置变种</t>
        </is>
      </c>
      <c r="C44" s="9" t="inlineStr">
        <is>
          <t>鞋盒无人机「批量配送」主路线 6 级起的造型（B6；没有 B4、B5 时沿用 B3）</t>
        </is>
      </c>
      <c r="D44" s="9" t="inlineStr">
        <is>
          <t>P3</t>
        </is>
      </c>
      <c r="E44" s="8" t="inlineStr"/>
      <c r="F44" s="8" t="inlineStr"/>
      <c r="G44" s="7" t="n">
        <v>48</v>
      </c>
      <c r="H44" s="7" t="n">
        <v>58</v>
      </c>
      <c r="I44" s="7" t="n">
        <v>0.5</v>
      </c>
      <c r="J44" s="7" t="n">
        <v>0.92</v>
      </c>
      <c r="K44" s="7" t="n">
        <v>1</v>
      </c>
      <c r="L44" s="7" t="n">
        <v>0</v>
      </c>
      <c r="M44" s="7" t="n">
        <v>0</v>
      </c>
      <c r="N44" s="9">
        <f>IF(K44&gt;1,K44*G44*3&amp;" × "&amp;H44*3&amp;"（"&amp;K44&amp;" 帧横排）",G44*3&amp;" × "&amp;H44*3)</f>
        <v/>
      </c>
    </row>
    <row r="45">
      <c r="A45" s="6" t="inlineStr">
        <is>
          <t>tower.sniper.C3</t>
        </is>
      </c>
      <c r="B45" s="9" t="inlineStr">
        <is>
          <t>装置变种</t>
        </is>
      </c>
      <c r="C45" s="9" t="inlineStr">
        <is>
          <t>鞋盒无人机「应急后勤」主路线 3 级起的造型（C3；没有 C4、C5 时沿用 C3）</t>
        </is>
      </c>
      <c r="D45" s="9" t="inlineStr">
        <is>
          <t>P2</t>
        </is>
      </c>
      <c r="E45" s="8" t="inlineStr"/>
      <c r="F45" s="8" t="inlineStr"/>
      <c r="G45" s="7" t="n">
        <v>44</v>
      </c>
      <c r="H45" s="7" t="n">
        <v>54</v>
      </c>
      <c r="I45" s="7" t="n">
        <v>0.5</v>
      </c>
      <c r="J45" s="7" t="n">
        <v>0.92</v>
      </c>
      <c r="K45" s="7" t="n">
        <v>1</v>
      </c>
      <c r="L45" s="7" t="n">
        <v>0</v>
      </c>
      <c r="M45" s="7" t="n">
        <v>0</v>
      </c>
      <c r="N45" s="9">
        <f>IF(K45&gt;1,K45*G45*3&amp;" × "&amp;H45*3&amp;"（"&amp;K45&amp;" 帧横排）",G45*3&amp;" × "&amp;H45*3)</f>
        <v/>
      </c>
    </row>
    <row r="46">
      <c r="A46" s="6" t="inlineStr">
        <is>
          <t>tower.sniper.C6</t>
        </is>
      </c>
      <c r="B46" s="9" t="inlineStr">
        <is>
          <t>装置变种</t>
        </is>
      </c>
      <c r="C46" s="9" t="inlineStr">
        <is>
          <t>鞋盒无人机「应急后勤」主路线 6 级起的造型（C6；没有 C4、C5 时沿用 C3）</t>
        </is>
      </c>
      <c r="D46" s="9" t="inlineStr">
        <is>
          <t>P3</t>
        </is>
      </c>
      <c r="E46" s="8" t="inlineStr"/>
      <c r="F46" s="8" t="inlineStr"/>
      <c r="G46" s="7" t="n">
        <v>48</v>
      </c>
      <c r="H46" s="7" t="n">
        <v>58</v>
      </c>
      <c r="I46" s="7" t="n">
        <v>0.5</v>
      </c>
      <c r="J46" s="7" t="n">
        <v>0.92</v>
      </c>
      <c r="K46" s="7" t="n">
        <v>1</v>
      </c>
      <c r="L46" s="7" t="n">
        <v>0</v>
      </c>
      <c r="M46" s="7" t="n">
        <v>0</v>
      </c>
      <c r="N46" s="9">
        <f>IF(K46&gt;1,K46*G46*3&amp;" × "&amp;H46*3&amp;"（"&amp;K46&amp;" 帧横排）",G46*3&amp;" × "&amp;H46*3)</f>
        <v/>
      </c>
    </row>
    <row r="47">
      <c r="A47" s="6" t="inlineStr">
        <is>
          <t>tower.tesla.A3</t>
        </is>
      </c>
      <c r="B47" s="9" t="inlineStr">
        <is>
          <t>装置变种</t>
        </is>
      </c>
      <c r="C47" s="9" t="inlineStr">
        <is>
          <t>广场舞音响「神曲接力」主路线 3 级起的造型（A3；没有 A4、A5 时沿用 A3）</t>
        </is>
      </c>
      <c r="D47" s="9" t="inlineStr">
        <is>
          <t>P2</t>
        </is>
      </c>
      <c r="E47" s="8" t="inlineStr"/>
      <c r="F47" s="8" t="inlineStr"/>
      <c r="G47" s="7" t="n">
        <v>44</v>
      </c>
      <c r="H47" s="7" t="n">
        <v>54</v>
      </c>
      <c r="I47" s="7" t="n">
        <v>0.5</v>
      </c>
      <c r="J47" s="7" t="n">
        <v>0.92</v>
      </c>
      <c r="K47" s="7" t="n">
        <v>1</v>
      </c>
      <c r="L47" s="7" t="n">
        <v>0</v>
      </c>
      <c r="M47" s="7" t="n">
        <v>0</v>
      </c>
      <c r="N47" s="9">
        <f>IF(K47&gt;1,K47*G47*3&amp;" × "&amp;H47*3&amp;"（"&amp;K47&amp;" 帧横排）",G47*3&amp;" × "&amp;H47*3)</f>
        <v/>
      </c>
    </row>
    <row r="48">
      <c r="A48" s="6" t="inlineStr">
        <is>
          <t>tower.tesla.A6</t>
        </is>
      </c>
      <c r="B48" s="9" t="inlineStr">
        <is>
          <t>装置变种</t>
        </is>
      </c>
      <c r="C48" s="9" t="inlineStr">
        <is>
          <t>广场舞音响「神曲接力」主路线 6 级起的造型（A6；没有 A4、A5 时沿用 A3）</t>
        </is>
      </c>
      <c r="D48" s="9" t="inlineStr">
        <is>
          <t>P3</t>
        </is>
      </c>
      <c r="E48" s="8" t="inlineStr"/>
      <c r="F48" s="8" t="inlineStr"/>
      <c r="G48" s="7" t="n">
        <v>48</v>
      </c>
      <c r="H48" s="7" t="n">
        <v>58</v>
      </c>
      <c r="I48" s="7" t="n">
        <v>0.5</v>
      </c>
      <c r="J48" s="7" t="n">
        <v>0.92</v>
      </c>
      <c r="K48" s="7" t="n">
        <v>1</v>
      </c>
      <c r="L48" s="7" t="n">
        <v>0</v>
      </c>
      <c r="M48" s="7" t="n">
        <v>0</v>
      </c>
      <c r="N48" s="9">
        <f>IF(K48&gt;1,K48*G48*3&amp;" × "&amp;H48*3&amp;"（"&amp;K48&amp;" 帧横排）",G48*3&amp;" × "&amp;H48*3)</f>
        <v/>
      </c>
    </row>
    <row r="49">
      <c r="A49" s="6" t="inlineStr">
        <is>
          <t>tower.tesla.B3</t>
        </is>
      </c>
      <c r="B49" s="9" t="inlineStr">
        <is>
          <t>装置变种</t>
        </is>
      </c>
      <c r="C49" s="9" t="inlineStr">
        <is>
          <t>广场舞音响「重低音共振」主路线 3 级起的造型（B3；没有 B4、B5 时沿用 B3）</t>
        </is>
      </c>
      <c r="D49" s="9" t="inlineStr">
        <is>
          <t>P2</t>
        </is>
      </c>
      <c r="E49" s="8" t="inlineStr"/>
      <c r="F49" s="8" t="inlineStr"/>
      <c r="G49" s="7" t="n">
        <v>44</v>
      </c>
      <c r="H49" s="7" t="n">
        <v>54</v>
      </c>
      <c r="I49" s="7" t="n">
        <v>0.5</v>
      </c>
      <c r="J49" s="7" t="n">
        <v>0.92</v>
      </c>
      <c r="K49" s="7" t="n">
        <v>1</v>
      </c>
      <c r="L49" s="7" t="n">
        <v>0</v>
      </c>
      <c r="M49" s="7" t="n">
        <v>0</v>
      </c>
      <c r="N49" s="9">
        <f>IF(K49&gt;1,K49*G49*3&amp;" × "&amp;H49*3&amp;"（"&amp;K49&amp;" 帧横排）",G49*3&amp;" × "&amp;H49*3)</f>
        <v/>
      </c>
    </row>
    <row r="50">
      <c r="A50" s="6" t="inlineStr">
        <is>
          <t>tower.tesla.B6</t>
        </is>
      </c>
      <c r="B50" s="9" t="inlineStr">
        <is>
          <t>装置变种</t>
        </is>
      </c>
      <c r="C50" s="9" t="inlineStr">
        <is>
          <t>广场舞音响「重低音共振」主路线 6 级起的造型（B6；没有 B4、B5 时沿用 B3）</t>
        </is>
      </c>
      <c r="D50" s="9" t="inlineStr">
        <is>
          <t>P3</t>
        </is>
      </c>
      <c r="E50" s="8" t="inlineStr"/>
      <c r="F50" s="8" t="inlineStr"/>
      <c r="G50" s="7" t="n">
        <v>48</v>
      </c>
      <c r="H50" s="7" t="n">
        <v>58</v>
      </c>
      <c r="I50" s="7" t="n">
        <v>0.5</v>
      </c>
      <c r="J50" s="7" t="n">
        <v>0.92</v>
      </c>
      <c r="K50" s="7" t="n">
        <v>1</v>
      </c>
      <c r="L50" s="7" t="n">
        <v>0</v>
      </c>
      <c r="M50" s="7" t="n">
        <v>0</v>
      </c>
      <c r="N50" s="9">
        <f>IF(K50&gt;1,K50*G50*3&amp;" × "&amp;H50*3&amp;"（"&amp;K50&amp;" 帧横排）",G50*3&amp;" × "&amp;H50*3)</f>
        <v/>
      </c>
    </row>
    <row r="51">
      <c r="A51" s="6" t="inlineStr">
        <is>
          <t>tower.tesla.C3</t>
        </is>
      </c>
      <c r="B51" s="9" t="inlineStr">
        <is>
          <t>装置变种</t>
        </is>
      </c>
      <c r="C51" s="9" t="inlineStr">
        <is>
          <t>广场舞音响「耳虫续播」主路线 3 级起的造型（C3；没有 C4、C5 时沿用 C3）</t>
        </is>
      </c>
      <c r="D51" s="9" t="inlineStr">
        <is>
          <t>P2</t>
        </is>
      </c>
      <c r="E51" s="8" t="inlineStr"/>
      <c r="F51" s="8" t="inlineStr"/>
      <c r="G51" s="7" t="n">
        <v>44</v>
      </c>
      <c r="H51" s="7" t="n">
        <v>54</v>
      </c>
      <c r="I51" s="7" t="n">
        <v>0.5</v>
      </c>
      <c r="J51" s="7" t="n">
        <v>0.92</v>
      </c>
      <c r="K51" s="7" t="n">
        <v>1</v>
      </c>
      <c r="L51" s="7" t="n">
        <v>0</v>
      </c>
      <c r="M51" s="7" t="n">
        <v>0</v>
      </c>
      <c r="N51" s="9">
        <f>IF(K51&gt;1,K51*G51*3&amp;" × "&amp;H51*3&amp;"（"&amp;K51&amp;" 帧横排）",G51*3&amp;" × "&amp;H51*3)</f>
        <v/>
      </c>
    </row>
    <row r="52">
      <c r="A52" s="6" t="inlineStr">
        <is>
          <t>tower.tesla.C6</t>
        </is>
      </c>
      <c r="B52" s="9" t="inlineStr">
        <is>
          <t>装置变种</t>
        </is>
      </c>
      <c r="C52" s="9" t="inlineStr">
        <is>
          <t>广场舞音响「耳虫续播」主路线 6 级起的造型（C6；没有 C4、C5 时沿用 C3）</t>
        </is>
      </c>
      <c r="D52" s="9" t="inlineStr">
        <is>
          <t>P3</t>
        </is>
      </c>
      <c r="E52" s="8" t="inlineStr"/>
      <c r="F52" s="8" t="inlineStr"/>
      <c r="G52" s="7" t="n">
        <v>48</v>
      </c>
      <c r="H52" s="7" t="n">
        <v>58</v>
      </c>
      <c r="I52" s="7" t="n">
        <v>0.5</v>
      </c>
      <c r="J52" s="7" t="n">
        <v>0.92</v>
      </c>
      <c r="K52" s="7" t="n">
        <v>1</v>
      </c>
      <c r="L52" s="7" t="n">
        <v>0</v>
      </c>
      <c r="M52" s="7" t="n">
        <v>0</v>
      </c>
      <c r="N52" s="9">
        <f>IF(K52&gt;1,K52*G52*3&amp;" × "&amp;H52*3&amp;"（"&amp;K52&amp;" 帧横排）",G52*3&amp;" × "&amp;H52*3)</f>
        <v/>
      </c>
    </row>
    <row r="53">
      <c r="A53" s="6" t="inlineStr">
        <is>
          <t>tower.lure.A3</t>
        </is>
      </c>
      <c r="B53" s="9" t="inlineStr">
        <is>
          <t>装置变种</t>
        </is>
      </c>
      <c r="C53" s="9" t="inlineStr">
        <is>
          <t>休闲诱惑站「美食飘香」主路线 3 级起的造型（A3；没有 A4、A5 时沿用 A3）</t>
        </is>
      </c>
      <c r="D53" s="9" t="inlineStr">
        <is>
          <t>P2</t>
        </is>
      </c>
      <c r="E53" s="8" t="inlineStr"/>
      <c r="F53" s="8" t="inlineStr"/>
      <c r="G53" s="7" t="n">
        <v>44</v>
      </c>
      <c r="H53" s="7" t="n">
        <v>54</v>
      </c>
      <c r="I53" s="7" t="n">
        <v>0.5</v>
      </c>
      <c r="J53" s="7" t="n">
        <v>0.92</v>
      </c>
      <c r="K53" s="7" t="n">
        <v>1</v>
      </c>
      <c r="L53" s="7" t="n">
        <v>0</v>
      </c>
      <c r="M53" s="7" t="n">
        <v>0</v>
      </c>
      <c r="N53" s="9">
        <f>IF(K53&gt;1,K53*G53*3&amp;" × "&amp;H53*3&amp;"（"&amp;K53&amp;" 帧横排）",G53*3&amp;" × "&amp;H53*3)</f>
        <v/>
      </c>
    </row>
    <row r="54">
      <c r="A54" s="6" t="inlineStr">
        <is>
          <t>tower.lure.A6</t>
        </is>
      </c>
      <c r="B54" s="9" t="inlineStr">
        <is>
          <t>装置变种</t>
        </is>
      </c>
      <c r="C54" s="9" t="inlineStr">
        <is>
          <t>休闲诱惑站「美食飘香」主路线 6 级起的造型（A6；没有 A4、A5 时沿用 A3）</t>
        </is>
      </c>
      <c r="D54" s="9" t="inlineStr">
        <is>
          <t>P3</t>
        </is>
      </c>
      <c r="E54" s="8" t="inlineStr"/>
      <c r="F54" s="8" t="inlineStr"/>
      <c r="G54" s="7" t="n">
        <v>48</v>
      </c>
      <c r="H54" s="7" t="n">
        <v>58</v>
      </c>
      <c r="I54" s="7" t="n">
        <v>0.5</v>
      </c>
      <c r="J54" s="7" t="n">
        <v>0.92</v>
      </c>
      <c r="K54" s="7" t="n">
        <v>1</v>
      </c>
      <c r="L54" s="7" t="n">
        <v>0</v>
      </c>
      <c r="M54" s="7" t="n">
        <v>0</v>
      </c>
      <c r="N54" s="9">
        <f>IF(K54&gt;1,K54*G54*3&amp;" × "&amp;H54*3&amp;"（"&amp;K54&amp;" 帧横排）",G54*3&amp;" × "&amp;H54*3)</f>
        <v/>
      </c>
    </row>
    <row r="55">
      <c r="A55" s="6" t="inlineStr">
        <is>
          <t>tower.lure.B3</t>
        </is>
      </c>
      <c r="B55" s="9" t="inlineStr">
        <is>
          <t>装置变种</t>
        </is>
      </c>
      <c r="C55" s="9" t="inlineStr">
        <is>
          <t>休闲诱惑站「舒适休息」主路线 3 级起的造型（B3；没有 B4、B5 时沿用 B3）</t>
        </is>
      </c>
      <c r="D55" s="9" t="inlineStr">
        <is>
          <t>P2</t>
        </is>
      </c>
      <c r="E55" s="8" t="inlineStr"/>
      <c r="F55" s="8" t="inlineStr"/>
      <c r="G55" s="7" t="n">
        <v>44</v>
      </c>
      <c r="H55" s="7" t="n">
        <v>54</v>
      </c>
      <c r="I55" s="7" t="n">
        <v>0.5</v>
      </c>
      <c r="J55" s="7" t="n">
        <v>0.92</v>
      </c>
      <c r="K55" s="7" t="n">
        <v>1</v>
      </c>
      <c r="L55" s="7" t="n">
        <v>0</v>
      </c>
      <c r="M55" s="7" t="n">
        <v>0</v>
      </c>
      <c r="N55" s="9">
        <f>IF(K55&gt;1,K55*G55*3&amp;" × "&amp;H55*3&amp;"（"&amp;K55&amp;" 帧横排）",G55*3&amp;" × "&amp;H55*3)</f>
        <v/>
      </c>
    </row>
    <row r="56">
      <c r="A56" s="6" t="inlineStr">
        <is>
          <t>tower.lure.B6</t>
        </is>
      </c>
      <c r="B56" s="9" t="inlineStr">
        <is>
          <t>装置变种</t>
        </is>
      </c>
      <c r="C56" s="9" t="inlineStr">
        <is>
          <t>休闲诱惑站「舒适休息」主路线 6 级起的造型（B6；没有 B4、B5 时沿用 B3）</t>
        </is>
      </c>
      <c r="D56" s="9" t="inlineStr">
        <is>
          <t>P3</t>
        </is>
      </c>
      <c r="E56" s="8" t="inlineStr"/>
      <c r="F56" s="8" t="inlineStr"/>
      <c r="G56" s="7" t="n">
        <v>48</v>
      </c>
      <c r="H56" s="7" t="n">
        <v>58</v>
      </c>
      <c r="I56" s="7" t="n">
        <v>0.5</v>
      </c>
      <c r="J56" s="7" t="n">
        <v>0.92</v>
      </c>
      <c r="K56" s="7" t="n">
        <v>1</v>
      </c>
      <c r="L56" s="7" t="n">
        <v>0</v>
      </c>
      <c r="M56" s="7" t="n">
        <v>0</v>
      </c>
      <c r="N56" s="9">
        <f>IF(K56&gt;1,K56*G56*3&amp;" × "&amp;H56*3&amp;"（"&amp;K56&amp;" 帧横排）",G56*3&amp;" × "&amp;H56*3)</f>
        <v/>
      </c>
    </row>
    <row r="57">
      <c r="A57" s="6" t="inlineStr">
        <is>
          <t>tower.lure.C3</t>
        </is>
      </c>
      <c r="B57" s="9" t="inlineStr">
        <is>
          <t>装置变种</t>
        </is>
      </c>
      <c r="C57" s="9" t="inlineStr">
        <is>
          <t>休闲诱惑站「限量围观」主路线 3 级起的造型（C3；没有 C4、C5 时沿用 C3）</t>
        </is>
      </c>
      <c r="D57" s="9" t="inlineStr">
        <is>
          <t>P2</t>
        </is>
      </c>
      <c r="E57" s="8" t="inlineStr"/>
      <c r="F57" s="8" t="inlineStr"/>
      <c r="G57" s="7" t="n">
        <v>44</v>
      </c>
      <c r="H57" s="7" t="n">
        <v>54</v>
      </c>
      <c r="I57" s="7" t="n">
        <v>0.5</v>
      </c>
      <c r="J57" s="7" t="n">
        <v>0.92</v>
      </c>
      <c r="K57" s="7" t="n">
        <v>1</v>
      </c>
      <c r="L57" s="7" t="n">
        <v>0</v>
      </c>
      <c r="M57" s="7" t="n">
        <v>0</v>
      </c>
      <c r="N57" s="9">
        <f>IF(K57&gt;1,K57*G57*3&amp;" × "&amp;H57*3&amp;"（"&amp;K57&amp;" 帧横排）",G57*3&amp;" × "&amp;H57*3)</f>
        <v/>
      </c>
    </row>
    <row r="58">
      <c r="A58" s="6" t="inlineStr">
        <is>
          <t>tower.lure.C6</t>
        </is>
      </c>
      <c r="B58" s="9" t="inlineStr">
        <is>
          <t>装置变种</t>
        </is>
      </c>
      <c r="C58" s="9" t="inlineStr">
        <is>
          <t>休闲诱惑站「限量围观」主路线 6 级起的造型（C6；没有 C4、C5 时沿用 C3）</t>
        </is>
      </c>
      <c r="D58" s="9" t="inlineStr">
        <is>
          <t>P3</t>
        </is>
      </c>
      <c r="E58" s="8" t="inlineStr"/>
      <c r="F58" s="8" t="inlineStr"/>
      <c r="G58" s="7" t="n">
        <v>48</v>
      </c>
      <c r="H58" s="7" t="n">
        <v>58</v>
      </c>
      <c r="I58" s="7" t="n">
        <v>0.5</v>
      </c>
      <c r="J58" s="7" t="n">
        <v>0.92</v>
      </c>
      <c r="K58" s="7" t="n">
        <v>1</v>
      </c>
      <c r="L58" s="7" t="n">
        <v>0</v>
      </c>
      <c r="M58" s="7" t="n">
        <v>0</v>
      </c>
      <c r="N58" s="9">
        <f>IF(K58&gt;1,K58*G58*3&amp;" × "&amp;H58*3&amp;"（"&amp;K58&amp;" 帧横排）",G58*3&amp;" × "&amp;H58*3)</f>
        <v/>
      </c>
    </row>
    <row r="59">
      <c r="A59" s="6" t="inlineStr">
        <is>
          <t>icon.tower.dart</t>
        </is>
      </c>
      <c r="B59" s="9" t="inlineStr">
        <is>
          <t>图标</t>
        </is>
      </c>
      <c r="C59" s="9" t="inlineStr">
        <is>
          <t>易拉罐投手的建造图标（建塔菜单），128 × 128 透明底，贴纸描边；由 art/icons/make_icons.py 从装置美术生成</t>
        </is>
      </c>
      <c r="D59" s="9" t="inlineStr">
        <is>
          <t>P1 样板关</t>
        </is>
      </c>
      <c r="E59" s="8" t="inlineStr">
        <is>
          <t>art/icon.tower.dart.png</t>
        </is>
      </c>
      <c r="F59" s="8" t="inlineStr"/>
      <c r="G59" s="7" t="n">
        <v>64</v>
      </c>
      <c r="H59" s="7" t="n">
        <v>64</v>
      </c>
      <c r="I59" s="7" t="n">
        <v>0.5</v>
      </c>
      <c r="J59" s="7" t="n">
        <v>0.5</v>
      </c>
      <c r="K59" s="7" t="n">
        <v>1</v>
      </c>
      <c r="L59" s="7" t="n">
        <v>0</v>
      </c>
      <c r="M59" s="7" t="n">
        <v>0</v>
      </c>
      <c r="N59" s="9">
        <f>IF(K59&gt;1,K59*G59*3&amp;" × "&amp;H59*3&amp;"（"&amp;K59&amp;" 帧横排）",G59*3&amp;" × "&amp;H59*3)</f>
        <v/>
      </c>
    </row>
    <row r="60">
      <c r="A60" s="6" t="inlineStr">
        <is>
          <t>icon.tower.bomb</t>
        </is>
      </c>
      <c r="B60" s="9" t="inlineStr">
        <is>
          <t>图标</t>
        </is>
      </c>
      <c r="C60" s="9" t="inlineStr">
        <is>
          <t>香蕉皮投手的建造图标（建塔菜单），128 × 128 透明底，贴纸描边；由 art/icons/make_icons.py 从装置美术生成</t>
        </is>
      </c>
      <c r="D60" s="9" t="inlineStr">
        <is>
          <t>P1 样板关</t>
        </is>
      </c>
      <c r="E60" s="8" t="inlineStr">
        <is>
          <t>art/icon.tower.bomb.png</t>
        </is>
      </c>
      <c r="F60" s="8" t="inlineStr"/>
      <c r="G60" s="7" t="n">
        <v>64</v>
      </c>
      <c r="H60" s="7" t="n">
        <v>64</v>
      </c>
      <c r="I60" s="7" t="n">
        <v>0.5</v>
      </c>
      <c r="J60" s="7" t="n">
        <v>0.5</v>
      </c>
      <c r="K60" s="7" t="n">
        <v>1</v>
      </c>
      <c r="L60" s="7" t="n">
        <v>0</v>
      </c>
      <c r="M60" s="7" t="n">
        <v>0</v>
      </c>
      <c r="N60" s="9">
        <f>IF(K60&gt;1,K60*G60*3&amp;" × "&amp;H60*3&amp;"（"&amp;K60&amp;" 帧横排）",G60*3&amp;" × "&amp;H60*3)</f>
        <v/>
      </c>
    </row>
    <row r="61">
      <c r="A61" s="6" t="inlineStr">
        <is>
          <t>icon.tower.frost</t>
        </is>
      </c>
      <c r="B61" s="9" t="inlineStr">
        <is>
          <t>图标</t>
        </is>
      </c>
      <c r="C61" s="9" t="inlineStr">
        <is>
          <t>洒水器的建造图标（建塔菜单），128 × 128 透明底，贴纸描边；由 art/icons/make_icons.py 从装置美术生成</t>
        </is>
      </c>
      <c r="D61" s="9" t="inlineStr">
        <is>
          <t>P1 样板关</t>
        </is>
      </c>
      <c r="E61" s="8" t="inlineStr">
        <is>
          <t>art/icon.tower.frost.png</t>
        </is>
      </c>
      <c r="F61" s="8" t="inlineStr"/>
      <c r="G61" s="7" t="n">
        <v>64</v>
      </c>
      <c r="H61" s="7" t="n">
        <v>64</v>
      </c>
      <c r="I61" s="7" t="n">
        <v>0.5</v>
      </c>
      <c r="J61" s="7" t="n">
        <v>0.5</v>
      </c>
      <c r="K61" s="7" t="n">
        <v>1</v>
      </c>
      <c r="L61" s="7" t="n">
        <v>0</v>
      </c>
      <c r="M61" s="7" t="n">
        <v>0</v>
      </c>
      <c r="N61" s="9">
        <f>IF(K61&gt;1,K61*G61*3&amp;" × "&amp;H61*3&amp;"（"&amp;K61&amp;" 帧横排）",G61*3&amp;" × "&amp;H61*3)</f>
        <v/>
      </c>
    </row>
    <row r="62">
      <c r="A62" s="6" t="inlineStr">
        <is>
          <t>icon.tower.truck</t>
        </is>
      </c>
      <c r="B62" s="9" t="inlineStr">
        <is>
          <t>图标</t>
        </is>
      </c>
      <c r="C62" s="9" t="inlineStr">
        <is>
          <t>洒水车的建造图标（建塔菜单），128 × 128 透明底，贴纸描边；由 art/icons/make_icons.py 从装置美术生成</t>
        </is>
      </c>
      <c r="D62" s="9" t="inlineStr">
        <is>
          <t>P1 样板关</t>
        </is>
      </c>
      <c r="E62" s="8" t="inlineStr">
        <is>
          <t>art/icon.tower.truck.png</t>
        </is>
      </c>
      <c r="F62" s="8" t="inlineStr"/>
      <c r="G62" s="7" t="n">
        <v>64</v>
      </c>
      <c r="H62" s="7" t="n">
        <v>64</v>
      </c>
      <c r="I62" s="7" t="n">
        <v>0.5</v>
      </c>
      <c r="J62" s="7" t="n">
        <v>0.5</v>
      </c>
      <c r="K62" s="7" t="n">
        <v>1</v>
      </c>
      <c r="L62" s="7" t="n">
        <v>0</v>
      </c>
      <c r="M62" s="7" t="n">
        <v>0</v>
      </c>
      <c r="N62" s="9">
        <f>IF(K62&gt;1,K62*G62*3&amp;" × "&amp;H62*3&amp;"（"&amp;K62&amp;" 帧横排）",G62*3&amp;" × "&amp;H62*3)</f>
        <v/>
      </c>
    </row>
    <row r="63">
      <c r="A63" s="6" t="inlineStr">
        <is>
          <t>icon.tower.sniper</t>
        </is>
      </c>
      <c r="B63" s="9" t="inlineStr">
        <is>
          <t>图标</t>
        </is>
      </c>
      <c r="C63" s="9" t="inlineStr">
        <is>
          <t>鞋盒无人机的建造图标（建塔菜单），128 × 128 透明底，贴纸描边；由 art/icons/make_icons.py 从装置美术生成</t>
        </is>
      </c>
      <c r="D63" s="9" t="inlineStr">
        <is>
          <t>P1 样板关</t>
        </is>
      </c>
      <c r="E63" s="8" t="inlineStr">
        <is>
          <t>art/icon.tower.sniper.png</t>
        </is>
      </c>
      <c r="F63" s="8" t="inlineStr"/>
      <c r="G63" s="7" t="n">
        <v>64</v>
      </c>
      <c r="H63" s="7" t="n">
        <v>64</v>
      </c>
      <c r="I63" s="7" t="n">
        <v>0.5</v>
      </c>
      <c r="J63" s="7" t="n">
        <v>0.5</v>
      </c>
      <c r="K63" s="7" t="n">
        <v>1</v>
      </c>
      <c r="L63" s="7" t="n">
        <v>0</v>
      </c>
      <c r="M63" s="7" t="n">
        <v>0</v>
      </c>
      <c r="N63" s="9">
        <f>IF(K63&gt;1,K63*G63*3&amp;" × "&amp;H63*3&amp;"（"&amp;K63&amp;" 帧横排）",G63*3&amp;" × "&amp;H63*3)</f>
        <v/>
      </c>
    </row>
    <row r="64">
      <c r="A64" s="6" t="inlineStr">
        <is>
          <t>icon.tower.tesla</t>
        </is>
      </c>
      <c r="B64" s="9" t="inlineStr">
        <is>
          <t>图标</t>
        </is>
      </c>
      <c r="C64" s="9" t="inlineStr">
        <is>
          <t>广场舞音响的建造图标（建塔菜单），128 × 128 透明底，贴纸描边；由 art/icons/make_icons.py 从装置美术生成</t>
        </is>
      </c>
      <c r="D64" s="9" t="inlineStr">
        <is>
          <t>P1 样板关</t>
        </is>
      </c>
      <c r="E64" s="8" t="inlineStr">
        <is>
          <t>art/icon.tower.tesla.png</t>
        </is>
      </c>
      <c r="F64" s="8" t="inlineStr"/>
      <c r="G64" s="7" t="n">
        <v>64</v>
      </c>
      <c r="H64" s="7" t="n">
        <v>64</v>
      </c>
      <c r="I64" s="7" t="n">
        <v>0.5</v>
      </c>
      <c r="J64" s="7" t="n">
        <v>0.5</v>
      </c>
      <c r="K64" s="7" t="n">
        <v>1</v>
      </c>
      <c r="L64" s="7" t="n">
        <v>0</v>
      </c>
      <c r="M64" s="7" t="n">
        <v>0</v>
      </c>
      <c r="N64" s="9">
        <f>IF(K64&gt;1,K64*G64*3&amp;" × "&amp;H64*3&amp;"（"&amp;K64&amp;" 帧横排）",G64*3&amp;" × "&amp;H64*3)</f>
        <v/>
      </c>
    </row>
    <row r="65">
      <c r="A65" s="6" t="inlineStr">
        <is>
          <t>icon.tower.lure</t>
        </is>
      </c>
      <c r="B65" s="9" t="inlineStr">
        <is>
          <t>图标</t>
        </is>
      </c>
      <c r="C65" s="9" t="inlineStr">
        <is>
          <t>休闲诱惑站的建造图标（建塔菜单），128 × 128 透明底，贴纸描边；由 art/icons/make_icons.py 从装置美术生成</t>
        </is>
      </c>
      <c r="D65" s="9" t="inlineStr">
        <is>
          <t>P1 样板关</t>
        </is>
      </c>
      <c r="E65" s="8" t="inlineStr">
        <is>
          <t>art/icon.tower.lure.png</t>
        </is>
      </c>
      <c r="F65" s="8" t="inlineStr"/>
      <c r="G65" s="7" t="n">
        <v>64</v>
      </c>
      <c r="H65" s="7" t="n">
        <v>64</v>
      </c>
      <c r="I65" s="7" t="n">
        <v>0.5</v>
      </c>
      <c r="J65" s="7" t="n">
        <v>0.5</v>
      </c>
      <c r="K65" s="7" t="n">
        <v>1</v>
      </c>
      <c r="L65" s="7" t="n">
        <v>0</v>
      </c>
      <c r="M65" s="7" t="n">
        <v>0</v>
      </c>
      <c r="N65" s="9">
        <f>IF(K65&gt;1,K65*G65*3&amp;" × "&amp;H65*3&amp;"（"&amp;K65&amp;" 帧横排）",G65*3&amp;" × "&amp;H65*3)</f>
        <v/>
      </c>
    </row>
    <row r="66">
      <c r="A66" s="6" t="inlineStr">
        <is>
          <t>icon.tower.miner</t>
        </is>
      </c>
      <c r="B66" s="9" t="inlineStr">
        <is>
          <t>图标</t>
        </is>
      </c>
      <c r="C66" s="9" t="inlineStr">
        <is>
          <t>矿机的建造图标（建塔菜单），128 × 128 透明底，贴纸描边；由 art/icons/make_icons.py 从装置美术生成</t>
        </is>
      </c>
      <c r="D66" s="9" t="inlineStr">
        <is>
          <t>P1 样板关</t>
        </is>
      </c>
      <c r="E66" s="8" t="inlineStr">
        <is>
          <t>art/icon.tower.miner.png</t>
        </is>
      </c>
      <c r="F66" s="8" t="inlineStr"/>
      <c r="G66" s="7" t="n">
        <v>64</v>
      </c>
      <c r="H66" s="7" t="n">
        <v>64</v>
      </c>
      <c r="I66" s="7" t="n">
        <v>0.5</v>
      </c>
      <c r="J66" s="7" t="n">
        <v>0.5</v>
      </c>
      <c r="K66" s="7" t="n">
        <v>1</v>
      </c>
      <c r="L66" s="7" t="n">
        <v>0</v>
      </c>
      <c r="M66" s="7" t="n">
        <v>0</v>
      </c>
      <c r="N66" s="9">
        <f>IF(K66&gt;1,K66*G66*3&amp;" × "&amp;H66*3&amp;"（"&amp;K66&amp;" 帧横排）",G66*3&amp;" × "&amp;H66*3)</f>
        <v/>
      </c>
    </row>
    <row r="67">
      <c r="A67" s="6" t="inlineStr">
        <is>
          <t>pad.empty</t>
        </is>
      </c>
      <c r="B67" s="9" t="inlineStr">
        <is>
          <t>空位</t>
        </is>
      </c>
      <c r="C67" s="9" t="inlineStr">
        <is>
          <t>可放置装置的空位（石台 + 加号）</t>
        </is>
      </c>
      <c r="D67" s="9" t="inlineStr">
        <is>
          <t>P2</t>
        </is>
      </c>
      <c r="E67" s="8" t="inlineStr"/>
      <c r="F67" s="8" t="inlineStr"/>
      <c r="G67" s="7" t="n">
        <v>36</v>
      </c>
      <c r="H67" s="7" t="n">
        <v>22</v>
      </c>
      <c r="I67" s="7" t="n">
        <v>0.5</v>
      </c>
      <c r="J67" s="7" t="n">
        <v>1</v>
      </c>
      <c r="K67" s="7" t="n">
        <v>1</v>
      </c>
      <c r="L67" s="7" t="n">
        <v>0</v>
      </c>
      <c r="M67" s="7" t="n">
        <v>0</v>
      </c>
      <c r="N67" s="9">
        <f>IF(K67&gt;1,K67*G67*3&amp;" × "&amp;H67*3&amp;"（"&amp;K67&amp;" 帧横排）",G67*3&amp;" × "&amp;H67*3)</f>
        <v/>
      </c>
    </row>
    <row r="68">
      <c r="A68" s="6" t="inlineStr">
        <is>
          <t>pad.base</t>
        </is>
      </c>
      <c r="B68" s="9" t="inlineStr">
        <is>
          <t>空位</t>
        </is>
      </c>
      <c r="C68" s="9" t="inlineStr">
        <is>
          <t>装置脚下的底座</t>
        </is>
      </c>
      <c r="D68" s="9" t="inlineStr">
        <is>
          <t>P2</t>
        </is>
      </c>
      <c r="E68" s="8" t="inlineStr"/>
      <c r="F68" s="8" t="inlineStr"/>
      <c r="G68" s="7" t="n">
        <v>36</v>
      </c>
      <c r="H68" s="7" t="n">
        <v>22</v>
      </c>
      <c r="I68" s="7" t="n">
        <v>0.5</v>
      </c>
      <c r="J68" s="7" t="n">
        <v>1</v>
      </c>
      <c r="K68" s="7" t="n">
        <v>1</v>
      </c>
      <c r="L68" s="7" t="n">
        <v>0</v>
      </c>
      <c r="M68" s="7" t="n">
        <v>0</v>
      </c>
      <c r="N68" s="9">
        <f>IF(K68&gt;1,K68*G68*3&amp;" × "&amp;H68*3&amp;"（"&amp;K68&amp;" 帧横排）",G68*3&amp;" × "&amp;H68*3)</f>
        <v/>
      </c>
    </row>
    <row r="69">
      <c r="A69" s="6" t="inlineStr">
        <is>
          <t>runner.norm</t>
        </is>
      </c>
      <c r="B69" s="9" t="inlineStr">
        <is>
          <t>跑者</t>
        </is>
      </c>
      <c r="C69" s="9" t="inlineStr">
        <is>
          <t>慢跑者，侧面向右跑；横向序列帧</t>
        </is>
      </c>
      <c r="D69" s="9" t="inlineStr">
        <is>
          <t>P1 样板关</t>
        </is>
      </c>
      <c r="E69" s="8" t="inlineStr"/>
      <c r="F69" s="8" t="inlineStr"/>
      <c r="G69" s="7" t="n">
        <v>30</v>
      </c>
      <c r="H69" s="7" t="n">
        <v>36</v>
      </c>
      <c r="I69" s="7" t="n">
        <v>0.5</v>
      </c>
      <c r="J69" s="7" t="n">
        <v>1</v>
      </c>
      <c r="K69" s="7" t="n">
        <v>6</v>
      </c>
      <c r="L69" s="7" t="n">
        <v>10</v>
      </c>
      <c r="M69" s="7" t="n">
        <v>0</v>
      </c>
      <c r="N69" s="9">
        <f>IF(K69&gt;1,K69*G69*3&amp;" × "&amp;H69*3&amp;"（"&amp;K69&amp;" 帧横排）",G69*3&amp;" × "&amp;H69*3)</f>
        <v/>
      </c>
    </row>
    <row r="70">
      <c r="A70" s="6" t="inlineStr">
        <is>
          <t>runner.arm</t>
        </is>
      </c>
      <c r="B70" s="9" t="inlineStr">
        <is>
          <t>跑者</t>
        </is>
      </c>
      <c r="C70" s="9" t="inlineStr">
        <is>
          <t>耐力跑者（更壮、带护具）</t>
        </is>
      </c>
      <c r="D70" s="9" t="inlineStr">
        <is>
          <t>P1 样板关</t>
        </is>
      </c>
      <c r="E70" s="8" t="inlineStr"/>
      <c r="F70" s="8" t="inlineStr"/>
      <c r="G70" s="7" t="n">
        <v>34</v>
      </c>
      <c r="H70" s="7" t="n">
        <v>42</v>
      </c>
      <c r="I70" s="7" t="n">
        <v>0.5</v>
      </c>
      <c r="J70" s="7" t="n">
        <v>1</v>
      </c>
      <c r="K70" s="7" t="n">
        <v>6</v>
      </c>
      <c r="L70" s="7" t="n">
        <v>10</v>
      </c>
      <c r="M70" s="7" t="n">
        <v>0</v>
      </c>
      <c r="N70" s="9">
        <f>IF(K70&gt;1,K70*G70*3&amp;" × "&amp;H70*3&amp;"（"&amp;K70&amp;" 帧横排）",G70*3&amp;" × "&amp;H70*3)</f>
        <v/>
      </c>
    </row>
    <row r="71">
      <c r="A71" s="6" t="inlineStr">
        <is>
          <t>runner.mini</t>
        </is>
      </c>
      <c r="B71" s="9" t="inlineStr">
        <is>
          <t>跑者</t>
        </is>
      </c>
      <c r="C71" s="9" t="inlineStr">
        <is>
          <t>跑团分裂出的小跑者</t>
        </is>
      </c>
      <c r="D71" s="9" t="inlineStr">
        <is>
          <t>P2</t>
        </is>
      </c>
      <c r="E71" s="8" t="inlineStr"/>
      <c r="F71" s="8" t="inlineStr"/>
      <c r="G71" s="7" t="n">
        <v>22</v>
      </c>
      <c r="H71" s="7" t="n">
        <v>26</v>
      </c>
      <c r="I71" s="7" t="n">
        <v>0.5</v>
      </c>
      <c r="J71" s="7" t="n">
        <v>1</v>
      </c>
      <c r="K71" s="7" t="n">
        <v>6</v>
      </c>
      <c r="L71" s="7" t="n">
        <v>12</v>
      </c>
      <c r="M71" s="7" t="n">
        <v>0</v>
      </c>
      <c r="N71" s="9">
        <f>IF(K71&gt;1,K71*G71*3&amp;" × "&amp;H71*3&amp;"（"&amp;K71&amp;" 帧横排）",G71*3&amp;" × "&amp;H71*3)</f>
        <v/>
      </c>
    </row>
    <row r="72">
      <c r="A72" s="6" t="inlineStr">
        <is>
          <t>runner.gold</t>
        </is>
      </c>
      <c r="B72" s="9" t="inlineStr">
        <is>
          <t>跑者</t>
        </is>
      </c>
      <c r="C72" s="9" t="inlineStr">
        <is>
          <t>Aurum 召唤的金甲跑者</t>
        </is>
      </c>
      <c r="D72" s="9" t="inlineStr">
        <is>
          <t>P2</t>
        </is>
      </c>
      <c r="E72" s="8" t="inlineStr"/>
      <c r="F72" s="8" t="inlineStr"/>
      <c r="G72" s="7" t="n">
        <v>32</v>
      </c>
      <c r="H72" s="7" t="n">
        <v>38</v>
      </c>
      <c r="I72" s="7" t="n">
        <v>0.5</v>
      </c>
      <c r="J72" s="7" t="n">
        <v>1</v>
      </c>
      <c r="K72" s="7" t="n">
        <v>6</v>
      </c>
      <c r="L72" s="7" t="n">
        <v>10</v>
      </c>
      <c r="M72" s="7" t="n">
        <v>0</v>
      </c>
      <c r="N72" s="9">
        <f>IF(K72&gt;1,K72*G72*3&amp;" × "&amp;H72*3&amp;"（"&amp;K72&amp;" 帧横排）",G72*3&amp;" × "&amp;H72*3)</f>
        <v/>
      </c>
    </row>
    <row r="73">
      <c r="A73" s="6" t="inlineStr">
        <is>
          <t>boss.yawn</t>
        </is>
      </c>
      <c r="B73" s="9" t="inlineStr">
        <is>
          <t>Boss</t>
        </is>
      </c>
      <c r="C73" s="9" t="inlineStr">
        <is>
          <t>Nox（黑猫，九命），侧面向右跑；真人原型需本人同意</t>
        </is>
      </c>
      <c r="D73" s="9" t="inlineStr">
        <is>
          <t>P1 样板关</t>
        </is>
      </c>
      <c r="E73" s="8" t="inlineStr"/>
      <c r="F73" s="8" t="inlineStr"/>
      <c r="G73" s="7" t="n">
        <v>72</v>
      </c>
      <c r="H73" s="7" t="n">
        <v>56</v>
      </c>
      <c r="I73" s="7" t="n">
        <v>0.5</v>
      </c>
      <c r="J73" s="7" t="n">
        <v>1</v>
      </c>
      <c r="K73" s="7" t="n">
        <v>6</v>
      </c>
      <c r="L73" s="7" t="n">
        <v>8</v>
      </c>
      <c r="M73" s="7" t="n">
        <v>0</v>
      </c>
      <c r="N73" s="9">
        <f>IF(K73&gt;1,K73*G73*3&amp;" × "&amp;H73*3&amp;"（"&amp;K73&amp;" 帧横排）",G73*3&amp;" × "&amp;H73*3)</f>
        <v/>
      </c>
    </row>
    <row r="74">
      <c r="A74" s="6" t="inlineStr">
        <is>
          <t>boss.gilg</t>
        </is>
      </c>
      <c r="B74" s="9" t="inlineStr">
        <is>
          <t>Boss</t>
        </is>
      </c>
      <c r="C74" s="9" t="inlineStr">
        <is>
          <t>Aurum，侧面向右跑；真人原型需本人同意</t>
        </is>
      </c>
      <c r="D74" s="9" t="inlineStr">
        <is>
          <t>P2</t>
        </is>
      </c>
      <c r="E74" s="8" t="inlineStr"/>
      <c r="F74" s="8" t="inlineStr"/>
      <c r="G74" s="7" t="n">
        <v>64</v>
      </c>
      <c r="H74" s="7" t="n">
        <v>80</v>
      </c>
      <c r="I74" s="7" t="n">
        <v>0.5</v>
      </c>
      <c r="J74" s="7" t="n">
        <v>1</v>
      </c>
      <c r="K74" s="7" t="n">
        <v>6</v>
      </c>
      <c r="L74" s="7" t="n">
        <v>8</v>
      </c>
      <c r="M74" s="7" t="n">
        <v>0</v>
      </c>
      <c r="N74" s="9">
        <f>IF(K74&gt;1,K74*G74*3&amp;" × "&amp;H74*3&amp;"（"&amp;K74&amp;" 帧横排）",G74*3&amp;" × "&amp;H74*3)</f>
        <v/>
      </c>
    </row>
    <row r="75">
      <c r="A75" s="6" t="inlineStr">
        <is>
          <t>boss.king</t>
        </is>
      </c>
      <c r="B75" s="9" t="inlineStr">
        <is>
          <t>Boss</t>
        </is>
      </c>
      <c r="C75" s="9" t="inlineStr">
        <is>
          <t>Slimo，侧面向右跑；真人原型需本人同意</t>
        </is>
      </c>
      <c r="D75" s="9" t="inlineStr">
        <is>
          <t>P2</t>
        </is>
      </c>
      <c r="E75" s="8" t="inlineStr"/>
      <c r="F75" s="8" t="inlineStr"/>
      <c r="G75" s="7" t="n">
        <v>64</v>
      </c>
      <c r="H75" s="7" t="n">
        <v>80</v>
      </c>
      <c r="I75" s="7" t="n">
        <v>0.5</v>
      </c>
      <c r="J75" s="7" t="n">
        <v>1</v>
      </c>
      <c r="K75" s="7" t="n">
        <v>6</v>
      </c>
      <c r="L75" s="7" t="n">
        <v>8</v>
      </c>
      <c r="M75" s="7" t="n">
        <v>0</v>
      </c>
      <c r="N75" s="9">
        <f>IF(K75&gt;1,K75*G75*3&amp;" × "&amp;H75*3&amp;"（"&amp;K75&amp;" 帧横排）",G75*3&amp;" × "&amp;H75*3)</f>
        <v/>
      </c>
    </row>
    <row r="76">
      <c r="A76" s="6" t="inlineStr">
        <is>
          <t>boss.lucas</t>
        </is>
      </c>
      <c r="B76" s="9" t="inlineStr">
        <is>
          <t>Boss</t>
        </is>
      </c>
      <c r="C76" s="9" t="inlineStr">
        <is>
          <t>Rocco，侧面向右跑；真人原型需本人同意</t>
        </is>
      </c>
      <c r="D76" s="9" t="inlineStr">
        <is>
          <t>P2</t>
        </is>
      </c>
      <c r="E76" s="8" t="inlineStr"/>
      <c r="F76" s="8" t="inlineStr"/>
      <c r="G76" s="7" t="n">
        <v>64</v>
      </c>
      <c r="H76" s="7" t="n">
        <v>80</v>
      </c>
      <c r="I76" s="7" t="n">
        <v>0.5</v>
      </c>
      <c r="J76" s="7" t="n">
        <v>1</v>
      </c>
      <c r="K76" s="7" t="n">
        <v>6</v>
      </c>
      <c r="L76" s="7" t="n">
        <v>8</v>
      </c>
      <c r="M76" s="7" t="n">
        <v>0</v>
      </c>
      <c r="N76" s="9">
        <f>IF(K76&gt;1,K76*G76*3&amp;" × "&amp;H76*3&amp;"（"&amp;K76&amp;" 帧横排）",G76*3&amp;" × "&amp;H76*3)</f>
        <v/>
      </c>
    </row>
    <row r="77">
      <c r="A77" s="6" t="inlineStr">
        <is>
          <t>boss.shiti</t>
        </is>
      </c>
      <c r="B77" s="9" t="inlineStr">
        <is>
          <t>Boss</t>
        </is>
      </c>
      <c r="C77" s="9" t="inlineStr">
        <is>
          <t>Chuckles，侧面向右跑；真人原型需本人同意</t>
        </is>
      </c>
      <c r="D77" s="9" t="inlineStr">
        <is>
          <t>P2</t>
        </is>
      </c>
      <c r="E77" s="8" t="inlineStr"/>
      <c r="F77" s="8" t="inlineStr"/>
      <c r="G77" s="7" t="n">
        <v>64</v>
      </c>
      <c r="H77" s="7" t="n">
        <v>80</v>
      </c>
      <c r="I77" s="7" t="n">
        <v>0.5</v>
      </c>
      <c r="J77" s="7" t="n">
        <v>1</v>
      </c>
      <c r="K77" s="7" t="n">
        <v>6</v>
      </c>
      <c r="L77" s="7" t="n">
        <v>8</v>
      </c>
      <c r="M77" s="7" t="n">
        <v>0</v>
      </c>
      <c r="N77" s="9">
        <f>IF(K77&gt;1,K77*G77*3&amp;" × "&amp;H77*3&amp;"（"&amp;K77&amp;" 帧横排）",G77*3&amp;" × "&amp;H77*3)</f>
        <v/>
      </c>
    </row>
    <row r="78">
      <c r="A78" s="6" t="inlineStr">
        <is>
          <t>boss.jerry</t>
        </is>
      </c>
      <c r="B78" s="9" t="inlineStr">
        <is>
          <t>Boss</t>
        </is>
      </c>
      <c r="C78" s="9" t="inlineStr">
        <is>
          <t>Datto，侧面向右跑；真人原型需本人同意</t>
        </is>
      </c>
      <c r="D78" s="9" t="inlineStr">
        <is>
          <t>P2</t>
        </is>
      </c>
      <c r="E78" s="8" t="inlineStr"/>
      <c r="F78" s="8" t="inlineStr"/>
      <c r="G78" s="7" t="n">
        <v>64</v>
      </c>
      <c r="H78" s="7" t="n">
        <v>80</v>
      </c>
      <c r="I78" s="7" t="n">
        <v>0.5</v>
      </c>
      <c r="J78" s="7" t="n">
        <v>1</v>
      </c>
      <c r="K78" s="7" t="n">
        <v>6</v>
      </c>
      <c r="L78" s="7" t="n">
        <v>8</v>
      </c>
      <c r="M78" s="7" t="n">
        <v>0</v>
      </c>
      <c r="N78" s="9">
        <f>IF(K78&gt;1,K78*G78*3&amp;" × "&amp;H78*3&amp;"（"&amp;K78&amp;" 帧横排）",G78*3&amp;" × "&amp;H78*3)</f>
        <v/>
      </c>
    </row>
    <row r="79">
      <c r="A79" s="6" t="inlineStr">
        <is>
          <t>boss.pizza</t>
        </is>
      </c>
      <c r="B79" s="9" t="inlineStr">
        <is>
          <t>Boss</t>
        </is>
      </c>
      <c r="C79" s="9" t="inlineStr">
        <is>
          <t>Pizza Rider（披萨外卖员），侧面向右跑；真人原型需本人同意</t>
        </is>
      </c>
      <c r="D79" s="9" t="inlineStr">
        <is>
          <t>P2</t>
        </is>
      </c>
      <c r="E79" s="8" t="inlineStr"/>
      <c r="F79" s="8" t="inlineStr"/>
      <c r="G79" s="7" t="n">
        <v>64</v>
      </c>
      <c r="H79" s="7" t="n">
        <v>80</v>
      </c>
      <c r="I79" s="7" t="n">
        <v>0.5</v>
      </c>
      <c r="J79" s="7" t="n">
        <v>1</v>
      </c>
      <c r="K79" s="7" t="n">
        <v>6</v>
      </c>
      <c r="L79" s="7" t="n">
        <v>8</v>
      </c>
      <c r="M79" s="7" t="n">
        <v>0</v>
      </c>
      <c r="N79" s="9">
        <f>IF(K79&gt;1,K79*G79*3&amp;" × "&amp;H79*3&amp;"（"&amp;K79&amp;" 帧横排）",G79*3&amp;" × "&amp;H79*3)</f>
        <v/>
      </c>
    </row>
    <row r="80">
      <c r="A80" s="6" t="inlineStr">
        <is>
          <t>boss.overflow</t>
        </is>
      </c>
      <c r="B80" s="9" t="inlineStr">
        <is>
          <t>Boss</t>
        </is>
      </c>
      <c r="C80" s="9" t="inlineStr">
        <is>
          <t>Overflow（溢出怪），侧面向右跑；真人原型需本人同意</t>
        </is>
      </c>
      <c r="D80" s="9" t="inlineStr">
        <is>
          <t>P2</t>
        </is>
      </c>
      <c r="E80" s="8" t="inlineStr"/>
      <c r="F80" s="8" t="inlineStr"/>
      <c r="G80" s="7" t="n">
        <v>64</v>
      </c>
      <c r="H80" s="7" t="n">
        <v>80</v>
      </c>
      <c r="I80" s="7" t="n">
        <v>0.5</v>
      </c>
      <c r="J80" s="7" t="n">
        <v>1</v>
      </c>
      <c r="K80" s="7" t="n">
        <v>6</v>
      </c>
      <c r="L80" s="7" t="n">
        <v>8</v>
      </c>
      <c r="M80" s="7" t="n">
        <v>0</v>
      </c>
      <c r="N80" s="9">
        <f>IF(K80&gt;1,K80*G80*3&amp;" × "&amp;H80*3&amp;"（"&amp;K80&amp;" 帧横排）",G80*3&amp;" × "&amp;H80*3)</f>
        <v/>
      </c>
    </row>
    <row r="81">
      <c r="A81" s="6" t="inlineStr">
        <is>
          <t>shot.dart</t>
        </is>
      </c>
      <c r="B81" s="9" t="inlineStr">
        <is>
          <t>子弹</t>
        </is>
      </c>
      <c r="C81" s="9" t="inlineStr">
        <is>
          <t>易拉罐：fly 飞行循环（画朝右，游戏沿弹道旋转）+ hit 命中</t>
        </is>
      </c>
      <c r="D81" s="9" t="inlineStr">
        <is>
          <t>P2</t>
        </is>
      </c>
      <c r="E81" s="8" t="inlineStr">
        <is>
          <t>art/shot.dart.png</t>
        </is>
      </c>
      <c r="F81" s="8" t="inlineStr">
        <is>
          <t>art/shot.dart.json</t>
        </is>
      </c>
      <c r="G81" s="7" t="n">
        <v>19.1</v>
      </c>
      <c r="H81" s="7" t="n">
        <v>19.1</v>
      </c>
      <c r="I81" s="7" t="n">
        <v>0.5</v>
      </c>
      <c r="J81" s="7" t="n">
        <v>0.5</v>
      </c>
      <c r="K81" s="7" t="n">
        <v>1</v>
      </c>
      <c r="L81" s="7" t="n">
        <v>0</v>
      </c>
      <c r="M81" s="7" t="n">
        <v>0</v>
      </c>
      <c r="N81" s="9">
        <f>IF(K81&gt;1,K81*G81*3&amp;" × "&amp;H81*3&amp;"（"&amp;K81&amp;" 帧横排）",G81*3&amp;" × "&amp;H81*3)</f>
        <v/>
      </c>
    </row>
    <row r="82">
      <c r="A82" s="6" t="inlineStr">
        <is>
          <t>shot.bomb</t>
        </is>
      </c>
      <c r="B82" s="9" t="inlineStr">
        <is>
          <t>子弹</t>
        </is>
      </c>
      <c r="C82" s="9" t="inlineStr">
        <is>
          <t>飞行中的香蕉皮：fly + hit（落地）</t>
        </is>
      </c>
      <c r="D82" s="9" t="inlineStr">
        <is>
          <t>P2</t>
        </is>
      </c>
      <c r="E82" s="8" t="inlineStr">
        <is>
          <t>art/shot.bomb.png</t>
        </is>
      </c>
      <c r="F82" s="8" t="inlineStr">
        <is>
          <t>art/shot.bomb.json</t>
        </is>
      </c>
      <c r="G82" s="7" t="n">
        <v>15</v>
      </c>
      <c r="H82" s="7" t="n">
        <v>15</v>
      </c>
      <c r="I82" s="7" t="n">
        <v>0.5</v>
      </c>
      <c r="J82" s="7" t="n">
        <v>0.5</v>
      </c>
      <c r="K82" s="7" t="n">
        <v>1</v>
      </c>
      <c r="L82" s="7" t="n">
        <v>0</v>
      </c>
      <c r="M82" s="7" t="n">
        <v>0</v>
      </c>
      <c r="N82" s="9">
        <f>IF(K82&gt;1,K82*G82*3&amp;" × "&amp;H82*3&amp;"（"&amp;K82&amp;" 帧横排）",G82*3&amp;" × "&amp;H82*3)</f>
        <v/>
      </c>
    </row>
    <row r="83">
      <c r="A83" s="6" t="inlineStr">
        <is>
          <t>shot.sniper</t>
        </is>
      </c>
      <c r="B83" s="9" t="inlineStr">
        <is>
          <t>子弹</t>
        </is>
      </c>
      <c r="C83" s="9" t="inlineStr">
        <is>
          <t>无人机空投的鞋盒：fly（下落）+ hit（砸地）</t>
        </is>
      </c>
      <c r="D83" s="9" t="inlineStr">
        <is>
          <t>P2</t>
        </is>
      </c>
      <c r="E83" s="8" t="inlineStr">
        <is>
          <t>art/shot.sniper.png</t>
        </is>
      </c>
      <c r="F83" s="8" t="inlineStr">
        <is>
          <t>art/shot.sniper.json</t>
        </is>
      </c>
      <c r="G83" s="7" t="n">
        <v>19.1</v>
      </c>
      <c r="H83" s="7" t="n">
        <v>19.1</v>
      </c>
      <c r="I83" s="7" t="n">
        <v>0.5</v>
      </c>
      <c r="J83" s="7" t="n">
        <v>1</v>
      </c>
      <c r="K83" s="7" t="n">
        <v>1</v>
      </c>
      <c r="L83" s="7" t="n">
        <v>0</v>
      </c>
      <c r="M83" s="7" t="n">
        <v>0</v>
      </c>
      <c r="N83" s="9">
        <f>IF(K83&gt;1,K83*G83*3&amp;" × "&amp;H83*3&amp;"（"&amp;K83&amp;" 帧横排）",G83*3&amp;" × "&amp;H83*3)</f>
        <v/>
      </c>
    </row>
    <row r="84">
      <c r="A84" s="6" t="inlineStr">
        <is>
          <t>fx.peel</t>
        </is>
      </c>
      <c r="B84" s="9" t="inlineStr">
        <is>
          <t>地面效果</t>
        </is>
      </c>
      <c r="C84" s="9" t="inlineStr">
        <is>
          <t>落在跑道上的香蕉皮</t>
        </is>
      </c>
      <c r="D84" s="9" t="inlineStr">
        <is>
          <t>P2</t>
        </is>
      </c>
      <c r="E84" s="8" t="inlineStr">
        <is>
          <t>art/fx.peel.png</t>
        </is>
      </c>
      <c r="F84" s="8" t="inlineStr"/>
      <c r="G84" s="7" t="n">
        <v>18</v>
      </c>
      <c r="H84" s="7" t="n">
        <v>18</v>
      </c>
      <c r="I84" s="7" t="n">
        <v>0.5</v>
      </c>
      <c r="J84" s="7" t="n">
        <v>0.5</v>
      </c>
      <c r="K84" s="7" t="n">
        <v>1</v>
      </c>
      <c r="L84" s="7" t="n">
        <v>0</v>
      </c>
      <c r="M84" s="7" t="n">
        <v>0</v>
      </c>
      <c r="N84" s="9">
        <f>IF(K84&gt;1,K84*G84*3&amp;" × "&amp;H84*3&amp;"（"&amp;K84&amp;" 帧横排）",G84*3&amp;" × "&amp;H84*3)</f>
        <v/>
      </c>
    </row>
    <row r="85">
      <c r="A85" s="6" t="inlineStr">
        <is>
          <t>icon.wave</t>
        </is>
      </c>
      <c r="B85" s="9" t="inlineStr">
        <is>
          <t>界面图标</t>
        </is>
      </c>
      <c r="C85" s="9" t="inlineStr">
        <is>
          <t>顶栏「波次」图标</t>
        </is>
      </c>
      <c r="D85" s="9" t="inlineStr">
        <is>
          <t>P2</t>
        </is>
      </c>
      <c r="E85" s="8" t="inlineStr"/>
      <c r="F85" s="8" t="inlineStr"/>
      <c r="G85" s="7" t="n">
        <v>38</v>
      </c>
      <c r="H85" s="7" t="n">
        <v>38</v>
      </c>
      <c r="I85" s="7" t="n">
        <v>0.5</v>
      </c>
      <c r="J85" s="7" t="n">
        <v>0.5</v>
      </c>
      <c r="K85" s="7" t="n">
        <v>1</v>
      </c>
      <c r="L85" s="7" t="n">
        <v>0</v>
      </c>
      <c r="M85" s="7" t="n">
        <v>0</v>
      </c>
      <c r="N85" s="9">
        <f>IF(K85&gt;1,K85*G85*3&amp;" × "&amp;H85*3&amp;"（"&amp;K85&amp;" 帧横排）",G85*3&amp;" × "&amp;H85*3)</f>
        <v/>
      </c>
    </row>
    <row r="86">
      <c r="A86" s="6" t="inlineStr">
        <is>
          <t>icon.lives</t>
        </is>
      </c>
      <c r="B86" s="9" t="inlineStr">
        <is>
          <t>界面图标</t>
        </is>
      </c>
      <c r="C86" s="9" t="inlineStr">
        <is>
          <t>顶栏「生命」图标（心形）</t>
        </is>
      </c>
      <c r="D86" s="9" t="inlineStr">
        <is>
          <t>P2</t>
        </is>
      </c>
      <c r="E86" s="8" t="inlineStr"/>
      <c r="F86" s="8" t="inlineStr"/>
      <c r="G86" s="7" t="n">
        <v>38</v>
      </c>
      <c r="H86" s="7" t="n">
        <v>38</v>
      </c>
      <c r="I86" s="7" t="n">
        <v>0.5</v>
      </c>
      <c r="J86" s="7" t="n">
        <v>0.5</v>
      </c>
      <c r="K86" s="7" t="n">
        <v>1</v>
      </c>
      <c r="L86" s="7" t="n">
        <v>0</v>
      </c>
      <c r="M86" s="7" t="n">
        <v>0</v>
      </c>
      <c r="N86" s="9">
        <f>IF(K86&gt;1,K86*G86*3&amp;" × "&amp;H86*3&amp;"（"&amp;K86&amp;" 帧横排）",G86*3&amp;" × "&amp;H86*3)</f>
        <v/>
      </c>
    </row>
    <row r="87">
      <c r="A87" s="6" t="inlineStr">
        <is>
          <t>icon.gst</t>
        </is>
      </c>
      <c r="B87" s="9" t="inlineStr">
        <is>
          <t>界面图标</t>
        </is>
      </c>
      <c r="C87" s="9" t="inlineStr">
        <is>
          <t>顶栏「GST」图标</t>
        </is>
      </c>
      <c r="D87" s="9" t="inlineStr">
        <is>
          <t>P2</t>
        </is>
      </c>
      <c r="E87" s="8" t="inlineStr"/>
      <c r="F87" s="8" t="inlineStr"/>
      <c r="G87" s="7" t="n">
        <v>38</v>
      </c>
      <c r="H87" s="7" t="n">
        <v>38</v>
      </c>
      <c r="I87" s="7" t="n">
        <v>0.5</v>
      </c>
      <c r="J87" s="7" t="n">
        <v>0.5</v>
      </c>
      <c r="K87" s="7" t="n">
        <v>1</v>
      </c>
      <c r="L87" s="7" t="n">
        <v>0</v>
      </c>
      <c r="M87" s="7" t="n">
        <v>0</v>
      </c>
      <c r="N87" s="9">
        <f>IF(K87&gt;1,K87*G87*3&amp;" × "&amp;H87*3&amp;"（"&amp;K87&amp;" 帧横排）",G87*3&amp;" × "&amp;H87*3)</f>
        <v/>
      </c>
    </row>
    <row r="88">
      <c r="A88" s="6" t="inlineStr">
        <is>
          <t>icon.score</t>
        </is>
      </c>
      <c r="B88" s="9" t="inlineStr">
        <is>
          <t>界面图标</t>
        </is>
      </c>
      <c r="C88" s="9" t="inlineStr">
        <is>
          <t>顶栏「分数」图标</t>
        </is>
      </c>
      <c r="D88" s="9" t="inlineStr">
        <is>
          <t>P2</t>
        </is>
      </c>
      <c r="E88" s="8" t="inlineStr"/>
      <c r="F88" s="8" t="inlineStr"/>
      <c r="G88" s="7" t="n">
        <v>38</v>
      </c>
      <c r="H88" s="7" t="n">
        <v>38</v>
      </c>
      <c r="I88" s="7" t="n">
        <v>0.5</v>
      </c>
      <c r="J88" s="7" t="n">
        <v>0.5</v>
      </c>
      <c r="K88" s="7" t="n">
        <v>1</v>
      </c>
      <c r="L88" s="7" t="n">
        <v>0</v>
      </c>
      <c r="M88" s="7" t="n">
        <v>0</v>
      </c>
      <c r="N88" s="9">
        <f>IF(K88&gt;1,K88*G88*3&amp;" × "&amp;H88*3&amp;"（"&amp;K88&amp;" 帧横排）",G88*3&amp;" × "&amp;H88*3)</f>
        <v/>
      </c>
    </row>
    <row r="89">
      <c r="A89" s="6" t="inlineStr">
        <is>
          <t>tower.dart.A1</t>
        </is>
      </c>
      <c r="B89" s="9" t="inlineStr">
        <is>
          <t>装置变种</t>
        </is>
      </c>
      <c r="C89" s="9" t="inlineStr">
        <is>
          <t>易拉罐投手「重罐点名」1 级挂件：挂一个秤砣</t>
        </is>
      </c>
      <c r="D89" s="9" t="inlineStr">
        <is>
          <t>P2</t>
        </is>
      </c>
      <c r="E89" s="8" t="inlineStr">
        <is>
          <t>art/tower.dart.A1.png</t>
        </is>
      </c>
      <c r="F89" s="8" t="inlineStr">
        <is>
          <t>art/tower.dart.A1.json</t>
        </is>
      </c>
      <c r="G89" s="7" t="n">
        <v>44.6</v>
      </c>
      <c r="H89" s="7" t="n">
        <v>46.5</v>
      </c>
      <c r="I89" s="7" t="n">
        <v>0.5</v>
      </c>
      <c r="J89" s="7" t="n">
        <v>0.92</v>
      </c>
      <c r="K89" s="7" t="n">
        <v>1</v>
      </c>
      <c r="L89" s="7" t="n">
        <v>0</v>
      </c>
      <c r="M89" s="7" t="n">
        <v>0</v>
      </c>
      <c r="N89" s="9">
        <f>IF(K89&gt;1,K89*G89*3&amp;" × "&amp;H89*3&amp;"（"&amp;K89&amp;" 帧横排）",G89*3&amp;" × "&amp;H89*3)</f>
        <v/>
      </c>
    </row>
    <row r="90">
      <c r="A90" s="6" t="inlineStr">
        <is>
          <t>tower.dart.A2</t>
        </is>
      </c>
      <c r="B90" s="9" t="inlineStr">
        <is>
          <t>装置变种</t>
        </is>
      </c>
      <c r="C90" s="9" t="inlineStr">
        <is>
          <t>易拉罐投手「重罐点名」2 级挂件：两侧各挂一个秤砣</t>
        </is>
      </c>
      <c r="D90" s="9" t="inlineStr">
        <is>
          <t>P2</t>
        </is>
      </c>
      <c r="E90" s="8" t="inlineStr">
        <is>
          <t>art/tower.dart.A2.png</t>
        </is>
      </c>
      <c r="F90" s="8" t="inlineStr">
        <is>
          <t>art/tower.dart.A2.json</t>
        </is>
      </c>
      <c r="G90" s="7" t="n">
        <v>44.6</v>
      </c>
      <c r="H90" s="7" t="n">
        <v>46.5</v>
      </c>
      <c r="I90" s="7" t="n">
        <v>0.5</v>
      </c>
      <c r="J90" s="7" t="n">
        <v>0.92</v>
      </c>
      <c r="K90" s="7" t="n">
        <v>1</v>
      </c>
      <c r="L90" s="7" t="n">
        <v>0</v>
      </c>
      <c r="M90" s="7" t="n">
        <v>0</v>
      </c>
      <c r="N90" s="9">
        <f>IF(K90&gt;1,K90*G90*3&amp;" × "&amp;H90*3&amp;"（"&amp;K90&amp;" 帧横排）",G90*3&amp;" × "&amp;H90*3)</f>
        <v/>
      </c>
    </row>
    <row r="91">
      <c r="A91" s="6" t="inlineStr">
        <is>
          <t>shot.dart.A3</t>
        </is>
      </c>
      <c r="B91" s="9" t="inlineStr">
        <is>
          <t>子弹</t>
        </is>
      </c>
      <c r="C91" s="9" t="inlineStr">
        <is>
          <t>投掷物「重罐点名」3 级：蓄力铜罐</t>
        </is>
      </c>
      <c r="D91" s="9" t="inlineStr">
        <is>
          <t>P2</t>
        </is>
      </c>
      <c r="E91" s="8" t="inlineStr">
        <is>
          <t>art/shot.dart.A3.png</t>
        </is>
      </c>
      <c r="F91" s="8" t="inlineStr">
        <is>
          <t>art/shot.dart.A3.json</t>
        </is>
      </c>
      <c r="G91" s="7" t="n">
        <v>21.2</v>
      </c>
      <c r="H91" s="7" t="n">
        <v>21.2</v>
      </c>
      <c r="I91" s="7" t="n">
        <v>0.5</v>
      </c>
      <c r="J91" s="7" t="n">
        <v>0.5</v>
      </c>
      <c r="K91" s="7" t="n">
        <v>1</v>
      </c>
      <c r="L91" s="7" t="n">
        <v>0</v>
      </c>
      <c r="M91" s="7" t="n">
        <v>0</v>
      </c>
      <c r="N91" s="9">
        <f>IF(K91&gt;1,K91*G91*3&amp;" × "&amp;H91*3&amp;"（"&amp;K91&amp;" 帧横排）",G91*3&amp;" × "&amp;H91*3)</f>
        <v/>
      </c>
    </row>
    <row r="92">
      <c r="A92" s="6" t="inlineStr">
        <is>
          <t>tower.dart.A4</t>
        </is>
      </c>
      <c r="B92" s="9" t="inlineStr">
        <is>
          <t>装置变种</t>
        </is>
      </c>
      <c r="C92" s="9" t="inlineStr">
        <is>
          <t>易拉罐投手「重罐点名」4 级：破防刺罐</t>
        </is>
      </c>
      <c r="D92" s="9" t="inlineStr">
        <is>
          <t>P2</t>
        </is>
      </c>
      <c r="E92" s="8" t="inlineStr">
        <is>
          <t>art/tower.dart.A4.png</t>
        </is>
      </c>
      <c r="F92" s="8" t="inlineStr">
        <is>
          <t>art/tower.dart.A4.json</t>
        </is>
      </c>
      <c r="G92" s="7" t="n">
        <v>44.6</v>
      </c>
      <c r="H92" s="7" t="n">
        <v>46.5</v>
      </c>
      <c r="I92" s="7" t="n">
        <v>0.5</v>
      </c>
      <c r="J92" s="7" t="n">
        <v>0.92</v>
      </c>
      <c r="K92" s="7" t="n">
        <v>1</v>
      </c>
      <c r="L92" s="7" t="n">
        <v>0</v>
      </c>
      <c r="M92" s="7" t="n">
        <v>0</v>
      </c>
      <c r="N92" s="9">
        <f>IF(K92&gt;1,K92*G92*3&amp;" × "&amp;H92*3&amp;"（"&amp;K92&amp;" 帧横排）",G92*3&amp;" × "&amp;H92*3)</f>
        <v/>
      </c>
    </row>
    <row r="93">
      <c r="A93" s="6" t="inlineStr">
        <is>
          <t>shot.dart.A4</t>
        </is>
      </c>
      <c r="B93" s="9" t="inlineStr">
        <is>
          <t>子弹</t>
        </is>
      </c>
      <c r="C93" s="9" t="inlineStr">
        <is>
          <t>投掷物「重罐点名」4 级：破防刺罐</t>
        </is>
      </c>
      <c r="D93" s="9" t="inlineStr">
        <is>
          <t>P2</t>
        </is>
      </c>
      <c r="E93" s="8" t="inlineStr">
        <is>
          <t>art/shot.dart.A4.png</t>
        </is>
      </c>
      <c r="F93" s="8" t="inlineStr">
        <is>
          <t>art/shot.dart.A4.json</t>
        </is>
      </c>
      <c r="G93" s="7" t="n">
        <v>21</v>
      </c>
      <c r="H93" s="7" t="n">
        <v>21</v>
      </c>
      <c r="I93" s="7" t="n">
        <v>0.5</v>
      </c>
      <c r="J93" s="7" t="n">
        <v>0.5</v>
      </c>
      <c r="K93" s="7" t="n">
        <v>1</v>
      </c>
      <c r="L93" s="7" t="n">
        <v>0</v>
      </c>
      <c r="M93" s="7" t="n">
        <v>0</v>
      </c>
      <c r="N93" s="9">
        <f>IF(K93&gt;1,K93*G93*3&amp;" × "&amp;H93*3&amp;"（"&amp;K93&amp;" 帧横排）",G93*3&amp;" × "&amp;H93*3)</f>
        <v/>
      </c>
    </row>
    <row r="94">
      <c r="A94" s="6" t="inlineStr">
        <is>
          <t>tower.dart.A5</t>
        </is>
      </c>
      <c r="B94" s="9" t="inlineStr">
        <is>
          <t>装置变种</t>
        </is>
      </c>
      <c r="C94" s="9" t="inlineStr">
        <is>
          <t>易拉罐投手「重罐点名」5 级：手雷</t>
        </is>
      </c>
      <c r="D94" s="9" t="inlineStr">
        <is>
          <t>P2</t>
        </is>
      </c>
      <c r="E94" s="8" t="inlineStr">
        <is>
          <t>art/tower.dart.A5.png</t>
        </is>
      </c>
      <c r="F94" s="8" t="inlineStr">
        <is>
          <t>art/tower.dart.A5.json</t>
        </is>
      </c>
      <c r="G94" s="7" t="n">
        <v>44.6</v>
      </c>
      <c r="H94" s="7" t="n">
        <v>46.5</v>
      </c>
      <c r="I94" s="7" t="n">
        <v>0.5</v>
      </c>
      <c r="J94" s="7" t="n">
        <v>0.92</v>
      </c>
      <c r="K94" s="7" t="n">
        <v>1</v>
      </c>
      <c r="L94" s="7" t="n">
        <v>0</v>
      </c>
      <c r="M94" s="7" t="n">
        <v>0</v>
      </c>
      <c r="N94" s="9">
        <f>IF(K94&gt;1,K94*G94*3&amp;" × "&amp;H94*3&amp;"（"&amp;K94&amp;" 帧横排）",G94*3&amp;" × "&amp;H94*3)</f>
        <v/>
      </c>
    </row>
    <row r="95">
      <c r="A95" s="6" t="inlineStr">
        <is>
          <t>shot.dart.A5</t>
        </is>
      </c>
      <c r="B95" s="9" t="inlineStr">
        <is>
          <t>子弹</t>
        </is>
      </c>
      <c r="C95" s="9" t="inlineStr">
        <is>
          <t>投掷物「重罐点名」5 级：手雷</t>
        </is>
      </c>
      <c r="D95" s="9" t="inlineStr">
        <is>
          <t>P2</t>
        </is>
      </c>
      <c r="E95" s="8" t="inlineStr">
        <is>
          <t>art/shot.dart.A5.png</t>
        </is>
      </c>
      <c r="F95" s="8" t="inlineStr">
        <is>
          <t>art/shot.dart.A5.json</t>
        </is>
      </c>
      <c r="G95" s="7" t="n">
        <v>23.4</v>
      </c>
      <c r="H95" s="7" t="n">
        <v>23.4</v>
      </c>
      <c r="I95" s="7" t="n">
        <v>0.5</v>
      </c>
      <c r="J95" s="7" t="n">
        <v>0.5</v>
      </c>
      <c r="K95" s="7" t="n">
        <v>1</v>
      </c>
      <c r="L95" s="7" t="n">
        <v>0</v>
      </c>
      <c r="M95" s="7" t="n">
        <v>0</v>
      </c>
      <c r="N95" s="9">
        <f>IF(K95&gt;1,K95*G95*3&amp;" × "&amp;H95*3&amp;"（"&amp;K95&amp;" 帧横排）",G95*3&amp;" × "&amp;H95*3)</f>
        <v/>
      </c>
    </row>
    <row r="96">
      <c r="A96" s="6" t="inlineStr">
        <is>
          <t>shot.dart.A6</t>
        </is>
      </c>
      <c r="B96" s="9" t="inlineStr">
        <is>
          <t>子弹</t>
        </is>
      </c>
      <c r="C96" s="9" t="inlineStr">
        <is>
          <t>投掷物「重罐点名」6 级：双层底座 + 陨石</t>
        </is>
      </c>
      <c r="D96" s="9" t="inlineStr">
        <is>
          <t>P2</t>
        </is>
      </c>
      <c r="E96" s="8" t="inlineStr">
        <is>
          <t>art/shot.dart.A6.png</t>
        </is>
      </c>
      <c r="F96" s="8" t="inlineStr">
        <is>
          <t>art/shot.dart.A6.json</t>
        </is>
      </c>
      <c r="G96" s="7" t="n">
        <v>42.9</v>
      </c>
      <c r="H96" s="7" t="n">
        <v>42.9</v>
      </c>
      <c r="I96" s="7" t="n">
        <v>0.5</v>
      </c>
      <c r="J96" s="7" t="n">
        <v>0.5</v>
      </c>
      <c r="K96" s="7" t="n">
        <v>1</v>
      </c>
      <c r="L96" s="7" t="n">
        <v>0</v>
      </c>
      <c r="M96" s="7" t="n">
        <v>0</v>
      </c>
      <c r="N96" s="9">
        <f>IF(K96&gt;1,K96*G96*3&amp;" × "&amp;H96*3&amp;"（"&amp;K96&amp;" 帧横排）",G96*3&amp;" × "&amp;H96*3)</f>
        <v/>
      </c>
    </row>
    <row r="97">
      <c r="A97" s="6" t="inlineStr">
        <is>
          <t>fx.drone</t>
        </is>
      </c>
      <c r="B97" s="9" t="inlineStr">
        <is>
          <t>特效</t>
        </is>
      </c>
      <c r="C97" s="9" t="inlineStr">
        <is>
          <t>鞋盒无人机送货飞行（fly 循环，pivot 在机身中心）</t>
        </is>
      </c>
      <c r="D97" s="9" t="inlineStr">
        <is>
          <t>P2</t>
        </is>
      </c>
      <c r="E97" s="8" t="inlineStr">
        <is>
          <t>art/fx.drone.png</t>
        </is>
      </c>
      <c r="F97" s="8" t="inlineStr">
        <is>
          <t>art/fx.drone.json</t>
        </is>
      </c>
      <c r="G97" s="7" t="n">
        <v>48.9</v>
      </c>
      <c r="H97" s="7" t="n">
        <v>33.2</v>
      </c>
      <c r="I97" s="7" t="n">
        <v>0.5</v>
      </c>
      <c r="J97" s="7" t="n">
        <v>0.5</v>
      </c>
      <c r="K97" s="7" t="n">
        <v>1</v>
      </c>
      <c r="L97" s="7" t="n">
        <v>0</v>
      </c>
      <c r="M97" s="7" t="n">
        <v>0</v>
      </c>
      <c r="N97" s="9">
        <f>IF(K97&gt;1,K97*G97*3&amp;" × "&amp;H97*3&amp;"（"&amp;K97&amp;" 帧横排）",G97*3&amp;" × "&amp;H97*3)</f>
        <v/>
      </c>
    </row>
    <row r="99">
      <c r="A99" s="10" t="inlineStr">
        <is>
          <t>※ 图片地址填公开可访问的 https:// 链接（PNG / WebP，透明背景）；也可以不填，直接在游戏页面点「导入美术图片」，把文件名改成资源编号（如 tower.dart.png）一次选多张。</t>
        </is>
      </c>
    </row>
    <row r="100">
      <c r="A100" s="10" t="inlineStr">
        <is>
          <t>※ 游戏内宽高以 360 × 600 的画布为单位；出图按 3 倍像素（见最后一列），游戏会缩放到这里填的尺寸。</t>
        </is>
      </c>
    </row>
    <row r="101">
      <c r="A101" s="10" t="inlineStr">
        <is>
          <t>※ 锚点是图片里对齐游戏坐标的那一点：0,0 = 左上角，0.5,1 = 底边中点（跑者、装置用脚底中点）。</t>
        </is>
      </c>
    </row>
    <row r="102">
      <c r="A102" s="10" t="inlineStr">
        <is>
          <t>※ 帧数 &gt; 1 时，图片是横向排开的序列帧（每帧等宽），按帧率循环播放。跑者、Boss 统一画成「侧面向右跑」，向左时游戏自动水平翻转。</t>
        </is>
      </c>
    </row>
    <row r="103">
      <c r="A103" s="10" t="inlineStr">
        <is>
          <t>※ 装置变种图 tower.xxx.A3 / A6（B、C 同理）：该路线成为主路线并升到 3 级 / 6 级时替换基础图；没给就往下找，最后用基础图。导入时文件名里的装置也可以写 can / banana / sprinkler / drone / speaker / chill。</t>
        </is>
      </c>
    </row>
    <row r="104">
      <c r="A104" s="10" t="inlineStr">
        <is>
          <t>※ 动画：PNG 精灵图 + 同名 JSON（Aseprite「导出精灵图」勾选 JSON Data，或 TexturePacker JSON）。动画段用 Tag：idle 待机、fire 发射、build 放置、fly 子弹飞行、hit 命中；再用 1 帧的 release Tag 标出子弹离手的那一帧。用 Slice 标点：pivot 脚底 / 中心，muzzle 子弹出手点。导入时把 PNG 和 JSON 一起选上即可，或在「动画 JSON 地址」填链接。</t>
        </is>
      </c>
    </row>
    <row r="105">
      <c r="A105" s="10" t="inlineStr">
        <is>
          <t>※ 子弹只画外观：fly 画朝右，游戏沿弹道自动旋转；弹道类型、速度、抛物线高度在「弹道」表里调。</t>
        </is>
      </c>
    </row>
    <row r="106">
      <c r="A106" s="10" t="inlineStr">
        <is>
          <t>※ 优先级：P1 样板关（先画这些就能完整玩一张图）→ P2 → P3。</t>
        </is>
      </c>
    </row>
  </sheetData>
  <dataValidations count="1">
    <dataValidation sqref="M3:M97" showDropDown="0" showInputMessage="0" showErrorMessage="0" allowBlank="0" type="list">
      <formula1>"0,1"</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G10"/>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40" customWidth="1" min="3" max="3"/>
    <col width="14" customWidth="1" min="4" max="4"/>
    <col width="18" customWidth="1" min="5" max="5"/>
    <col width="20" customWidth="1" min="6" max="6"/>
    <col width="16" customWidth="1" min="7" max="7"/>
  </cols>
  <sheetData>
    <row r="1" ht="30" customHeight="1">
      <c r="A1" s="4" t="inlineStr">
        <is>
          <t>子弹编号（勿改）</t>
        </is>
      </c>
      <c r="B1" s="4" t="inlineStr">
        <is>
          <t>说明</t>
        </is>
      </c>
      <c r="C1" s="4" t="inlineStr">
        <is>
          <t>弹道（line 直线 / arc 抛物线 / drop 天降 / beam 水柱 / chain 链式）</t>
        </is>
      </c>
      <c r="D1" s="4" t="inlineStr">
        <is>
          <t>速度（像素/秒）</t>
        </is>
      </c>
      <c r="E1" s="4" t="inlineStr">
        <is>
          <t>抛物线高度 / 下落高度</t>
        </is>
      </c>
      <c r="F1" s="4" t="inlineStr">
        <is>
          <t>自转（圈/秒，0 = 沿弹道朝向）</t>
        </is>
      </c>
      <c r="G1" s="4" t="inlineStr">
        <is>
          <t>追踪移动目标（1/0）</t>
        </is>
      </c>
    </row>
    <row r="2">
      <c r="A2" s="5" t="inlineStr">
        <is>
          <t>key</t>
        </is>
      </c>
      <c r="B2" s="5" t="inlineStr"/>
      <c r="C2" s="5" t="inlineStr">
        <is>
          <t>traj</t>
        </is>
      </c>
      <c r="D2" s="5" t="inlineStr">
        <is>
          <t>speed</t>
        </is>
      </c>
      <c r="E2" s="5" t="inlineStr">
        <is>
          <t>arc</t>
        </is>
      </c>
      <c r="F2" s="5" t="inlineStr">
        <is>
          <t>spin</t>
        </is>
      </c>
      <c r="G2" s="5" t="inlineStr">
        <is>
          <t>track</t>
        </is>
      </c>
    </row>
    <row r="3">
      <c r="A3" s="6" t="inlineStr">
        <is>
          <t>shot.dart</t>
        </is>
      </c>
      <c r="B3" s="9" t="inlineStr">
        <is>
          <t>易拉罐</t>
        </is>
      </c>
      <c r="C3" s="8" t="inlineStr">
        <is>
          <t>arc</t>
        </is>
      </c>
      <c r="D3" s="7" t="n">
        <v>420</v>
      </c>
      <c r="E3" s="7" t="n">
        <v>14</v>
      </c>
      <c r="F3" s="7" t="n">
        <v>3</v>
      </c>
      <c r="G3" s="7" t="n">
        <v>1</v>
      </c>
    </row>
    <row r="4">
      <c r="A4" s="6" t="inlineStr">
        <is>
          <t>shot.bomb</t>
        </is>
      </c>
      <c r="B4" s="9" t="inlineStr">
        <is>
          <t>香蕉皮</t>
        </is>
      </c>
      <c r="C4" s="8" t="inlineStr">
        <is>
          <t>arc</t>
        </is>
      </c>
      <c r="D4" s="7" t="n">
        <v>260</v>
      </c>
      <c r="E4" s="7" t="n">
        <v>40</v>
      </c>
      <c r="F4" s="7" t="n">
        <v>2</v>
      </c>
      <c r="G4" s="7" t="n">
        <v>0</v>
      </c>
    </row>
    <row r="5">
      <c r="A5" s="6" t="inlineStr">
        <is>
          <t>shot.sniper</t>
        </is>
      </c>
      <c r="B5" s="9" t="inlineStr">
        <is>
          <t>无人机鞋盒</t>
        </is>
      </c>
      <c r="C5" s="8" t="inlineStr">
        <is>
          <t>drop</t>
        </is>
      </c>
      <c r="D5" s="7" t="n">
        <v>0</v>
      </c>
      <c r="E5" s="7" t="n">
        <v>70</v>
      </c>
      <c r="F5" s="7" t="n">
        <v>0</v>
      </c>
      <c r="G5" s="7" t="n">
        <v>0</v>
      </c>
    </row>
    <row r="6">
      <c r="A6" s="6" t="inlineStr">
        <is>
          <t>shot.frost</t>
        </is>
      </c>
      <c r="B6" s="9" t="inlineStr">
        <is>
          <t>水柱 / 水花</t>
        </is>
      </c>
      <c r="C6" s="8" t="inlineStr">
        <is>
          <t>beam</t>
        </is>
      </c>
      <c r="D6" s="7" t="n">
        <v>0</v>
      </c>
      <c r="E6" s="7" t="n">
        <v>0</v>
      </c>
      <c r="F6" s="7" t="n">
        <v>0</v>
      </c>
      <c r="G6" s="7" t="n">
        <v>0</v>
      </c>
    </row>
    <row r="7">
      <c r="A7" s="6" t="inlineStr">
        <is>
          <t>shot.tesla</t>
        </is>
      </c>
      <c r="B7" s="9" t="inlineStr">
        <is>
          <t>音符</t>
        </is>
      </c>
      <c r="C7" s="8" t="inlineStr">
        <is>
          <t>chain</t>
        </is>
      </c>
      <c r="D7" s="7" t="n">
        <v>0</v>
      </c>
      <c r="E7" s="7" t="n">
        <v>0</v>
      </c>
      <c r="F7" s="7" t="n">
        <v>0</v>
      </c>
      <c r="G7" s="7" t="n">
        <v>0</v>
      </c>
    </row>
    <row r="9">
      <c r="A9" s="10" t="inlineStr">
        <is>
          <t>※ 游戏按这里的弹道移动子弹，并预判跑者位置；美术只需要画子弹外观（fly）和命中效果（hit）。</t>
        </is>
      </c>
    </row>
    <row r="10">
      <c r="A10" s="10" t="inlineStr">
        <is>
          <t>※ beam、chain 是水柱和音符链，由游戏直接画线，速度和高度不起作用。追踪 = 1 时子弹一路跟着目标，必中；= 0 时落在预判点，跑者变速可能躲开。</t>
        </is>
      </c>
    </row>
  </sheetData>
  <dataValidations count="1">
    <dataValidation sqref="C3:C7" showDropDown="0" showInputMessage="0" showErrorMessage="0" allowBlank="0" type="list">
      <formula1>"line,arc,drop,beam,chain"</formula1>
    </dataValidation>
  </dataValidation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D308"/>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44" customWidth="1" min="1" max="1"/>
    <col width="44" customWidth="1" min="2" max="2"/>
    <col width="50" customWidth="1" min="3" max="3"/>
    <col width="54" customWidth="1" min="4" max="4"/>
  </cols>
  <sheetData>
    <row r="1" ht="30" customHeight="1">
      <c r="A1" s="4" t="inlineStr">
        <is>
          <t>原文（id，勿改）</t>
        </is>
      </c>
      <c r="B1" s="4" t="inlineStr">
        <is>
          <t>中文</t>
        </is>
      </c>
      <c r="C1" s="4" t="inlineStr">
        <is>
          <t>English</t>
        </is>
      </c>
      <c r="D1" s="4" t="inlineStr">
        <is>
          <t>Français</t>
        </is>
      </c>
    </row>
    <row r="2">
      <c r="A2" s="5" t="inlineStr">
        <is>
          <t>key</t>
        </is>
      </c>
      <c r="B2" s="5" t="inlineStr">
        <is>
          <t>zh</t>
        </is>
      </c>
      <c r="C2" s="5" t="inlineStr">
        <is>
          <t>en</t>
        </is>
      </c>
      <c r="D2" s="5" t="inlineStr">
        <is>
          <t>fr</t>
        </is>
      </c>
    </row>
    <row r="3">
      <c r="A3" s="6" t="inlineStr">
        <is>
          <t>3 个 Boss 波每局从 6 位传奇跑者里随机抽：Nox（九命复活）、Aurum（召唤金甲跑者）、Slimo（黏液加速）、Rocco（铁头冲刺）、Chuckles（大笑让装置停工）、Datto（对常用装置产生抗性）。</t>
        </is>
      </c>
      <c r="B3" s="8" t="inlineStr">
        <is>
          <t>3 个 Boss 波每局从 6 位传奇跑者里随机抽：Nox（九命复活）、Aurum（召唤金甲跑者）、Slimo（黏液加速）、Rocco（铁头冲刺）、Chuckles（大笑让装置停工）、Datto（对常用装置产生抗性）。</t>
        </is>
      </c>
      <c r="C3" s="8" t="inlineStr">
        <is>
          <t>Each run draws 3 bosses from 6 legendary runners: Nox (nine lives), Aurum (summons golden runners), Slimo (slime boost), Rocco (headstrong dash), Chuckles (laughter jams devices), Datto (adapts to your most-used device).</t>
        </is>
      </c>
      <c r="D3" s="8" t="inlineStr">
        <is>
          <t>Chaque partie tire 3 boss parmi 6 coureurs légendaires : Nox (neuf vies), Aurum (invoque des coureurs dorés), Slimo (bave accélérante), Rocco (charge tête baissée), Chuckles (son rire bloque les dispositifs), Datto (s’adapte à ton dispositif favori).</t>
        </is>
      </c>
    </row>
    <row r="4">
      <c r="A4" s="6" t="inlineStr">
        <is>
          <t>7 种装置 + 矿机：易拉罐投手（单体）、香蕉皮投手（跑道陷阱、滑倒）、洒水器（减速、冻结）、洒水车（会自己开的洒水器，靠成就解锁）、鞋盒无人机（全图空投）、广场舞音响（神曲连锁传播）、休闲诱惑站（把跑者留住）；矿机负责挣钱。每种 3 条路线，最多点 2 条；先到 3 级的成为主路线，可一直升到 6 级。</t>
        </is>
      </c>
      <c r="B4" s="8" t="inlineStr">
        <is>
          <t>7 种装置 + 矿机：易拉罐投手（单体）、香蕉皮投手（跑道陷阱、滑倒）、洒水器（减速、冻结）、洒水车（会自己开的洒水器，靠成就解锁）、鞋盒无人机（全图空投）、广场舞音响（神曲连锁传播）、休闲诱惑站（把跑者留住）；矿机负责挣钱。每种 3 条路线，最多点 2 条；先到 3 级的成为主路线，可一直升到 6 级。</t>
        </is>
      </c>
      <c r="C4" s="8" t="inlineStr">
        <is>
          <t>7 devices plus the Miner: Can Thrower (single target), Banana Peeler (track traps, slips), Sprinkler (slows, freezes), Sprinkler Truck (a sprinkler that drives itself, unlocked by an achievement), Shoebox Drone (map-wide drops), Dance Speaker (chain earworm), Chill Spot (holds runners up); the Miner earns money. Each has 3 paths and you can take 2; the first to tier 3 becomes the main path and goes up to tier 6.</t>
        </is>
      </c>
      <c r="D4" s="8" t="inlineStr">
        <is>
          <t>7 dispositifs plus le Mineur : Lanceur de canettes (cible unique), Lanceur de peaux de banane (pièges sur la piste, glissades), Arroseur (ralentit, gèle), Camion arroseur (un arroseur qui roule tout seul, débloqué par un succès), Drone à boîtes (largages sur toute la carte), Enceinte de danse (tube viral en chaîne), Coin détente (retient les coureurs) ; le Mineur rapporte de l’argent. Chacun a 3 voies, on peut en prendre 2 ; la première au niveau 3 devient la voie principale et monte jusqu’au niveau 6.</t>
        </is>
      </c>
    </row>
    <row r="5">
      <c r="A5" s="6" t="inlineStr">
        <is>
          <t>活动范围</t>
        </is>
      </c>
      <c r="B5" s="8" t="inlineStr">
        <is>
          <t>活动范围</t>
        </is>
      </c>
      <c r="C5" s="8" t="inlineStr">
        <is>
          <t>Patrol</t>
        </is>
      </c>
      <c r="D5" s="8" t="inlineStr">
        <is>
          <t>Patrouille</t>
        </is>
      </c>
    </row>
    <row r="6">
      <c r="A6" s="6" t="inlineStr">
        <is>
          <t>成就达成：浇透全场</t>
        </is>
      </c>
      <c r="B6" s="8" t="inlineStr">
        <is>
          <t>成就达成：浇透全场</t>
        </is>
      </c>
      <c r="C6" s="8" t="inlineStr">
        <is>
          <t>Achievement: Soak Them All</t>
        </is>
      </c>
      <c r="D6" s="8" t="inlineStr">
        <is>
          <t>Succès : Tout le monde trempé</t>
        </is>
      </c>
    </row>
    <row r="7">
      <c r="A7" s="6" t="inlineStr">
        <is>
          <t>洒水车已解锁！</t>
        </is>
      </c>
      <c r="B7" s="8" t="inlineStr">
        <is>
          <t>洒水车已解锁！</t>
        </is>
      </c>
      <c r="C7" s="8" t="inlineStr">
        <is>
          <t>Sprinkler Truck unlocked!</t>
        </is>
      </c>
      <c r="D7" s="8" t="inlineStr">
        <is>
          <t>Camion arroseur débloqué !</t>
        </is>
      </c>
    </row>
    <row r="8">
      <c r="A8" s="6" t="inlineStr">
        <is>
          <t>洒水车：用洒水器累计淋湿 {n}/{m} 名跑者后解锁</t>
        </is>
      </c>
      <c r="B8" s="8" t="inlineStr">
        <is>
          <t>洒水车：用洒水器累计淋湿 {n}/{m} 名跑者后解锁</t>
        </is>
      </c>
      <c r="C8" s="8" t="inlineStr">
        <is>
          <t>Sprinkler Truck: unlocks after the Sprinkler has soaked {n}/{m} runners</t>
        </is>
      </c>
      <c r="D8" s="8" t="inlineStr">
        <is>
          <t>Camion arroseur : débloqué quand l’Arroseur aura trempé {n}/{m} coureurs</t>
        </is>
      </c>
    </row>
    <row r="9">
      <c r="A9" s="6" t="inlineStr">
        <is>
          <t>成就「浇透全场」已达成：洒水车已解锁</t>
        </is>
      </c>
      <c r="B9" s="8" t="inlineStr">
        <is>
          <t>成就「浇透全场」已达成：洒水车已解锁</t>
        </is>
      </c>
      <c r="C9" s="8" t="inlineStr">
        <is>
          <t>Achievement “Soak Them All” done: Sprinkler Truck unlocked</t>
        </is>
      </c>
      <c r="D9" s="8" t="inlineStr">
        <is>
          <t>Succès « Tout le monde trempé » obtenu : Camion arroseur débloqué</t>
        </is>
      </c>
    </row>
    <row r="10">
      <c r="A10" s="6" t="inlineStr">
        <is>
          <t>成就「浇透全场」：用洒水器累计淋湿 {n}/{m} 名跑者，解锁洒水车</t>
        </is>
      </c>
      <c r="B10" s="8" t="inlineStr">
        <is>
          <t>成就「浇透全场」：用洒水器累计淋湿 {n}/{m} 名跑者，解锁洒水车</t>
        </is>
      </c>
      <c r="C10" s="8" t="inlineStr">
        <is>
          <t>Achievement “Soak Them All”: soak {n}/{m} runners with the Sprinkler to unlock the Sprinkler Truck</t>
        </is>
      </c>
      <c r="D10" s="8" t="inlineStr">
        <is>
          <t>Succès « Tout le monde trempé » : trempe {n}/{m} coureurs avec l’Arroseur pour débloquer le Camion arroseur</t>
        </is>
      </c>
    </row>
    <row r="11">
      <c r="A11" s="6" t="inlineStr">
        <is>
          <t>Boss 波</t>
        </is>
      </c>
      <c r="B11" s="8" t="inlineStr">
        <is>
          <t>Boss 波</t>
        </is>
      </c>
      <c r="C11" s="8" t="inlineStr">
        <is>
          <t>Boss wave</t>
        </is>
      </c>
      <c r="D11" s="8" t="inlineStr">
        <is>
          <t>Vague de boss</t>
        </is>
      </c>
    </row>
    <row r="12">
      <c r="A12" s="6" t="inlineStr">
        <is>
          <t>Boss：{n}（{t}）</t>
        </is>
      </c>
      <c r="B12" s="8" t="inlineStr">
        <is>
          <t>Boss：{n}（{t}）</t>
        </is>
      </c>
      <c r="C12" s="8" t="inlineStr">
        <is>
          <t>Boss: {n} ({t})</t>
        </is>
      </c>
      <c r="D12" s="8" t="inlineStr">
        <is>
          <t>Boss : {n} ({t})</t>
        </is>
      </c>
    </row>
    <row r="13">
      <c r="A13" s="6" t="inlineStr">
        <is>
          <t>Nox 九命</t>
        </is>
      </c>
      <c r="B13" s="8" t="inlineStr">
        <is>
          <t>Nox 九命</t>
        </is>
      </c>
      <c r="C13" s="8" t="inlineStr">
        <is>
          <t>Nox: Nine Lives</t>
        </is>
      </c>
      <c r="D13" s="8" t="inlineStr">
        <is>
          <t>Nox : neuf vies</t>
        </is>
      </c>
    </row>
    <row r="14">
      <c r="A14" s="6" t="inlineStr">
        <is>
          <t>{n} 名跑者</t>
        </is>
      </c>
      <c r="B14" s="8" t="inlineStr">
        <is>
          <t>{n} 名跑者</t>
        </is>
      </c>
      <c r="C14" s="8" t="inlineStr">
        <is>
          <t>{n} runners</t>
        </is>
      </c>
      <c r="D14" s="8" t="inlineStr">
        <is>
          <t>{n} coureurs</t>
        </is>
      </c>
    </row>
    <row r="15">
      <c r="A15" s="6" t="inlineStr">
        <is>
          <t>{n} 张</t>
        </is>
      </c>
      <c r="B15" s="8" t="inlineStr">
        <is>
          <t>{n} 张</t>
        </is>
      </c>
      <c r="C15" s="8" t="inlineStr">
        <is>
          <t>{n} cards</t>
        </is>
      </c>
      <c r="D15" s="8" t="inlineStr">
        <is>
          <t>{n} cartes</t>
        </is>
      </c>
    </row>
    <row r="16">
      <c r="A16" s="6" t="inlineStr">
        <is>
          <t>{n} 级 · {x}</t>
        </is>
      </c>
      <c r="B16" s="8" t="inlineStr">
        <is>
          <t>{n} 级 · {x}</t>
        </is>
      </c>
      <c r="C16" s="8" t="inlineStr">
        <is>
          <t>Tier {n} · {x}</t>
        </is>
      </c>
      <c r="D16" s="8" t="inlineStr">
        <is>
          <t>Niv. {n} · {x}</t>
        </is>
      </c>
    </row>
    <row r="17">
      <c r="A17" s="6" t="inlineStr">
        <is>
          <t>{x} {n} 秒后开始</t>
        </is>
      </c>
      <c r="B17" s="8" t="inlineStr">
        <is>
          <t>{x} {n} 秒后开始</t>
        </is>
      </c>
      <c r="C17" s="8" t="inlineStr">
        <is>
          <t>{x} starts in {n} s</t>
        </is>
      </c>
      <c r="D17" s="8" t="inlineStr">
        <is>
          <t>{x} dans {n} s</t>
        </is>
      </c>
    </row>
    <row r="18">
      <c r="A18" s="6" t="inlineStr">
        <is>
          <t>{x} 退赛！</t>
        </is>
      </c>
      <c r="B18" s="8" t="inlineStr">
        <is>
          <t>{x} 退赛！</t>
        </is>
      </c>
      <c r="C18" s="8" t="inlineStr">
        <is>
          <t>{x} quits!</t>
        </is>
      </c>
      <c r="D18" s="8" t="inlineStr">
        <is>
          <t>{x} abandonne !</t>
        </is>
      </c>
    </row>
    <row r="19">
      <c r="A19" s="6" t="inlineStr">
        <is>
          <t>{x}徽章</t>
        </is>
      </c>
      <c r="B19" s="8" t="inlineStr">
        <is>
          <t>{x}徽章</t>
        </is>
      </c>
      <c r="C19" s="8" t="inlineStr">
        <is>
          <t>{x} Badge</t>
        </is>
      </c>
      <c r="D19" s="8" t="inlineStr">
        <is>
          <t>Badge {x}</t>
        </is>
      </c>
    </row>
    <row r="20">
      <c r="A20" s="6" t="inlineStr">
        <is>
          <t>{x}效果 +25%，升级费用 −20%</t>
        </is>
      </c>
      <c r="B20" s="8" t="inlineStr">
        <is>
          <t>{x}效果 +25%，升级费用 −20%</t>
        </is>
      </c>
      <c r="C20" s="8" t="inlineStr">
        <is>
          <t>{x}: effect +25%, upgrades −20%</t>
        </is>
      </c>
      <c r="D20" s="8" t="inlineStr">
        <is>
          <t>{x} : effet +25 %, améliorations −20 %</t>
        </is>
      </c>
    </row>
    <row r="21">
      <c r="A21" s="6" t="inlineStr">
        <is>
          <t>下一波</t>
        </is>
      </c>
      <c r="B21" s="8" t="inlineStr">
        <is>
          <t>下一波</t>
        </is>
      </c>
      <c r="C21" s="8" t="inlineStr">
        <is>
          <t>Next wave</t>
        </is>
      </c>
      <c r="D21" s="8" t="inlineStr">
        <is>
          <t>Vague suivante</t>
        </is>
      </c>
    </row>
    <row r="22">
      <c r="A22" s="6" t="inlineStr">
        <is>
          <t>下一波 Boss：{x}。</t>
        </is>
      </c>
      <c r="B22" s="8" t="inlineStr">
        <is>
          <t>下一波 Boss：{x}。</t>
        </is>
      </c>
      <c r="C22" s="8" t="inlineStr">
        <is>
          <t>Next wave boss: {x}.</t>
        </is>
      </c>
      <c r="D22" s="8" t="inlineStr">
        <is>
          <t>Boss de la prochaine vague : {x}.</t>
        </is>
      </c>
    </row>
    <row r="23">
      <c r="A23" s="6" t="inlineStr">
        <is>
          <t>主路线</t>
        </is>
      </c>
      <c r="B23" s="8" t="inlineStr">
        <is>
          <t>主路线</t>
        </is>
      </c>
      <c r="C23" s="8" t="inlineStr">
        <is>
          <t>Main</t>
        </is>
      </c>
      <c r="D23" s="8" t="inlineStr">
        <is>
          <t>Principale</t>
        </is>
      </c>
    </row>
    <row r="24">
      <c r="A24" s="6" t="inlineStr">
        <is>
          <t>交易</t>
        </is>
      </c>
      <c r="B24" s="8" t="inlineStr">
        <is>
          <t>交易</t>
        </is>
      </c>
      <c r="C24" s="8" t="inlineStr">
        <is>
          <t>Deal</t>
        </is>
      </c>
      <c r="D24" s="8" t="inlineStr">
        <is>
          <t>Pacte</t>
        </is>
      </c>
    </row>
    <row r="25">
      <c r="A25" s="6" t="inlineStr">
        <is>
          <t>传播</t>
        </is>
      </c>
      <c r="B25" s="8" t="inlineStr">
        <is>
          <t>传播</t>
        </is>
      </c>
      <c r="C25" s="8" t="inlineStr">
        <is>
          <t>Chain</t>
        </is>
      </c>
      <c r="D25" s="8" t="inlineStr">
        <is>
          <t>Chaîne</t>
        </is>
      </c>
    </row>
    <row r="26">
      <c r="A26" s="6" t="inlineStr">
        <is>
          <t>传说</t>
        </is>
      </c>
      <c r="B26" s="8" t="inlineStr">
        <is>
          <t>传说</t>
        </is>
      </c>
      <c r="C26" s="8" t="inlineStr">
        <is>
          <t>Legendary</t>
        </is>
      </c>
      <c r="D26" s="8" t="inlineStr">
        <is>
          <t>Légendaire</t>
        </is>
      </c>
    </row>
    <row r="27">
      <c r="A27" s="6" t="inlineStr">
        <is>
          <t>体力 +40%</t>
        </is>
      </c>
      <c r="B27" s="8" t="inlineStr">
        <is>
          <t>体力 +40%</t>
        </is>
      </c>
      <c r="C27" s="8" t="inlineStr">
        <is>
          <t>Stamina +40%</t>
        </is>
      </c>
      <c r="D27" s="8" t="inlineStr">
        <is>
          <t>Endurance +40 %</t>
        </is>
      </c>
    </row>
    <row r="28">
      <c r="A28" s="6" t="inlineStr">
        <is>
          <t>全图</t>
        </is>
      </c>
      <c r="B28" s="8" t="inlineStr">
        <is>
          <t>全图</t>
        </is>
      </c>
      <c r="C28" s="8" t="inlineStr">
        <is>
          <t>Global</t>
        </is>
      </c>
      <c r="D28" s="8" t="inlineStr">
        <is>
          <t>Carte</t>
        </is>
      </c>
    </row>
    <row r="29">
      <c r="A29" s="6" t="inlineStr">
        <is>
          <t>再来一局</t>
        </is>
      </c>
      <c r="B29" s="8" t="inlineStr">
        <is>
          <t>再来一局</t>
        </is>
      </c>
      <c r="C29" s="8" t="inlineStr">
        <is>
          <t>Play again</t>
        </is>
      </c>
      <c r="D29" s="8" t="inlineStr">
        <is>
          <t>Rejouer</t>
        </is>
      </c>
    </row>
    <row r="30">
      <c r="A30" s="6" t="inlineStr">
        <is>
          <t>冲线！</t>
        </is>
      </c>
      <c r="B30" s="8" t="inlineStr">
        <is>
          <t>冲线！</t>
        </is>
      </c>
      <c r="C30" s="8" t="inlineStr">
        <is>
          <t>Crossed!</t>
        </is>
      </c>
      <c r="D30" s="8" t="inlineStr">
        <is>
          <t>Arrivé !</t>
        </is>
      </c>
    </row>
    <row r="31">
      <c r="A31" s="6" t="inlineStr">
        <is>
          <t>减速</t>
        </is>
      </c>
      <c r="B31" s="8" t="inlineStr">
        <is>
          <t>减速</t>
        </is>
      </c>
      <c r="C31" s="8" t="inlineStr">
        <is>
          <t>Slow</t>
        </is>
      </c>
      <c r="D31" s="8" t="inlineStr">
        <is>
          <t>Ralenti</t>
        </is>
      </c>
    </row>
    <row r="32">
      <c r="A32" s="6" t="inlineStr">
        <is>
          <t>分数</t>
        </is>
      </c>
      <c r="B32" s="8" t="inlineStr">
        <is>
          <t>分数</t>
        </is>
      </c>
      <c r="C32" s="8" t="inlineStr">
        <is>
          <t>Score</t>
        </is>
      </c>
      <c r="D32" s="8" t="inlineStr">
        <is>
          <t>Score</t>
        </is>
      </c>
    </row>
    <row r="33">
      <c r="A33" s="6" t="inlineStr">
        <is>
          <t>剩余生命 / 20 × 300</t>
        </is>
      </c>
      <c r="B33" s="8" t="inlineStr">
        <is>
          <t>剩余生命 / 20 × 300</t>
        </is>
      </c>
      <c r="C33" s="8" t="inlineStr">
        <is>
          <t>Lives left / 20 × 300</t>
        </is>
      </c>
      <c r="D33" s="8" t="inlineStr">
        <is>
          <t>Vies restantes / 20 × 300</t>
        </is>
      </c>
    </row>
    <row r="34">
      <c r="A34" s="6" t="inlineStr">
        <is>
          <t>劝退 GST +{n}%</t>
        </is>
      </c>
      <c r="B34" s="8" t="inlineStr">
        <is>
          <t>劝退 GST +{n}%</t>
        </is>
      </c>
      <c r="C34" s="8" t="inlineStr">
        <is>
          <t>GST per runner +{n}%</t>
        </is>
      </c>
      <c r="D34" s="8" t="inlineStr">
        <is>
          <t>GST par coureur +{n} %</t>
        </is>
      </c>
    </row>
    <row r="35">
      <c r="A35" s="6" t="inlineStr">
        <is>
          <t>劝退率 × 600</t>
        </is>
      </c>
      <c r="B35" s="8" t="inlineStr">
        <is>
          <t>劝退率 × 600</t>
        </is>
      </c>
      <c r="C35" s="8" t="inlineStr">
        <is>
          <t>Stop rate × 600</t>
        </is>
      </c>
      <c r="D35" s="8" t="inlineStr">
        <is>
          <t>Taux d’arrêt × 600</t>
        </is>
      </c>
    </row>
    <row r="36">
      <c r="A36" s="6" t="inlineStr">
        <is>
          <t>升级半价 ×{n}</t>
        </is>
      </c>
      <c r="B36" s="8" t="inlineStr">
        <is>
          <t>升级半价 ×{n}</t>
        </is>
      </c>
      <c r="C36" s="8" t="inlineStr">
        <is>
          <t>Half-price upgrades ×{n}</t>
        </is>
      </c>
      <c r="D36" s="8" t="inlineStr">
        <is>
          <t>Améliorations à moitié prix ×{n}</t>
        </is>
      </c>
    </row>
    <row r="37">
      <c r="A37" s="6" t="inlineStr">
        <is>
          <t>原地复活！</t>
        </is>
      </c>
      <c r="B37" s="8" t="inlineStr">
        <is>
          <t>原地复活！</t>
        </is>
      </c>
      <c r="C37" s="8" t="inlineStr">
        <is>
          <t>Back on her feet!</t>
        </is>
      </c>
      <c r="D37" s="8" t="inlineStr">
        <is>
          <t>Elle se relève !</t>
        </is>
      </c>
    </row>
    <row r="38">
      <c r="A38" s="6" t="inlineStr">
        <is>
          <t>哈</t>
        </is>
      </c>
      <c r="B38" s="8" t="inlineStr">
        <is>
          <t>哈</t>
        </is>
      </c>
      <c r="C38" s="8" t="inlineStr">
        <is>
          <t>Ha</t>
        </is>
      </c>
      <c r="D38" s="8" t="inlineStr">
        <is>
          <t>Ha</t>
        </is>
      </c>
    </row>
    <row r="39">
      <c r="A39" s="6" t="inlineStr">
        <is>
          <t>哈哈哈！</t>
        </is>
      </c>
      <c r="B39" s="8" t="inlineStr">
        <is>
          <t>哈哈哈！</t>
        </is>
      </c>
      <c r="C39" s="8" t="inlineStr">
        <is>
          <t>HAHAHA!</t>
        </is>
      </c>
      <c r="D39" s="8" t="inlineStr">
        <is>
          <t>HAHAHA !</t>
        </is>
      </c>
    </row>
    <row r="40">
      <c r="A40" s="6" t="inlineStr">
        <is>
          <t>回收 · +{n} GST</t>
        </is>
      </c>
      <c r="B40" s="8" t="inlineStr">
        <is>
          <t>回收 · +{n} GST</t>
        </is>
      </c>
      <c r="C40" s="8" t="inlineStr">
        <is>
          <t>Recycle · +{n} GST</t>
        </is>
      </c>
      <c r="D40" s="8" t="inlineStr">
        <is>
          <t>Recycler · +{n} GST</t>
        </is>
      </c>
    </row>
    <row r="41">
      <c r="A41" s="6" t="inlineStr">
        <is>
          <t>奖励：30 GST</t>
        </is>
      </c>
      <c r="B41" s="8" t="inlineStr">
        <is>
          <t>奖励：30 GST</t>
        </is>
      </c>
      <c r="C41" s="8" t="inlineStr">
        <is>
          <t>Reward: 30 GST</t>
        </is>
      </c>
      <c r="D41" s="8" t="inlineStr">
        <is>
          <t>Récompense : 30 GST</t>
        </is>
      </c>
    </row>
    <row r="42">
      <c r="A42" s="6" t="inlineStr">
        <is>
          <t>奖励：60 GST + 稀有以上</t>
        </is>
      </c>
      <c r="B42" s="8" t="inlineStr">
        <is>
          <t>奖励：60 GST + 稀有以上</t>
        </is>
      </c>
      <c r="C42" s="8" t="inlineStr">
        <is>
          <t>Reward: 60 GST + rare or better</t>
        </is>
      </c>
      <c r="D42" s="8" t="inlineStr">
        <is>
          <t>Récompense : 60 GST + rare ou mieux</t>
        </is>
      </c>
    </row>
    <row r="43">
      <c r="A43" s="6" t="inlineStr">
        <is>
          <t>宝石</t>
        </is>
      </c>
      <c r="B43" s="8" t="inlineStr">
        <is>
          <t>宝石</t>
        </is>
      </c>
      <c r="C43" s="8" t="inlineStr">
        <is>
          <t>Gems</t>
        </is>
      </c>
      <c r="D43" s="8" t="inlineStr">
        <is>
          <t>Gemmes</t>
        </is>
      </c>
    </row>
    <row r="44">
      <c r="A44" s="6" t="inlineStr">
        <is>
          <t>对手体力 +{n}%</t>
        </is>
      </c>
      <c r="B44" s="8" t="inlineStr">
        <is>
          <t>对手体力 +{n}%</t>
        </is>
      </c>
      <c r="C44" s="8" t="inlineStr">
        <is>
          <t>Rival stamina +{n}%</t>
        </is>
      </c>
      <c r="D44" s="8" t="inlineStr">
        <is>
          <t>Endurance rivale +{n} %</t>
        </is>
      </c>
    </row>
    <row r="45">
      <c r="A45" s="6" t="inlineStr">
        <is>
          <t>对手公会的跑者要冲过你的领地。你用「装置」干扰他们，体力耗尽就摔倒退赛。漏过去的跑者会扣你的生命，生命归零即失守。</t>
        </is>
      </c>
      <c r="B45" s="8" t="inlineStr">
        <is>
          <t>对手公会的跑者要冲过你的领地。你用「装置」干扰他们，体力耗尽就摔倒退赛。漏过去的跑者会扣你的生命，生命归零即失守。</t>
        </is>
      </c>
      <c r="C45" s="8" t="inlineStr">
        <is>
          <t>Rival guild runners are racing through your territory. Use devices to throw them off; when their stamina runs out they trip and quit. Every runner who gets through costs you a life; at zero lives the territory falls.</t>
        </is>
      </c>
      <c r="D45" s="8" t="inlineStr">
        <is>
          <t>Les coureurs d’une guilde rivale traversent ton territoire. Utilise des dispositifs pour les gêner ; à court d’endurance, ils trébuchent et abandonnent. Chaque coureur qui passe te coûte une vie ; à zéro, le territoire tombe.</t>
        </is>
      </c>
    </row>
    <row r="46">
      <c r="A46" s="6" t="inlineStr">
        <is>
          <t>对手公会的跑者要冲过你的领地。现在只有易拉罐投手，第 3 波开始出现耐力跑者。</t>
        </is>
      </c>
      <c r="B46" s="8" t="inlineStr">
        <is>
          <t>对手公会的跑者要冲过你的领地。现在只有易拉罐投手，第 3 波开始出现耐力跑者。</t>
        </is>
      </c>
      <c r="C46" s="8" t="inlineStr">
        <is>
          <t>Rival guild runners are racing through your territory. You start with the Can Thrower; endurance runners appear from wave 3.</t>
        </is>
      </c>
      <c r="D46" s="8" t="inlineStr">
        <is>
          <t>Des coureurs rivaux traversent ton territoire. Tu commences avec le Lanceur de canettes ; les coureurs endurants arrivent à la vague 3.</t>
        </is>
      </c>
    </row>
    <row r="47">
      <c r="A47" s="6" t="inlineStr">
        <is>
          <t>对手移速 +{n}%</t>
        </is>
      </c>
      <c r="B47" s="8" t="inlineStr">
        <is>
          <t>对手移速 +{n}%</t>
        </is>
      </c>
      <c r="C47" s="8" t="inlineStr">
        <is>
          <t>Rival speed +{n}%</t>
        </is>
      </c>
      <c r="D47" s="8" t="inlineStr">
        <is>
          <t>Vitesse rivale +{n} %</t>
        </is>
      </c>
    </row>
    <row r="48">
      <c r="A48" s="6" t="inlineStr">
        <is>
          <t>对耐力跑者</t>
        </is>
      </c>
      <c r="B48" s="8" t="inlineStr">
        <is>
          <t>对耐力跑者</t>
        </is>
      </c>
      <c r="C48" s="8" t="inlineStr">
        <is>
          <t>vs endurance</t>
        </is>
      </c>
      <c r="D48" s="8" t="inlineStr">
        <is>
          <t>vs endurants</t>
        </is>
      </c>
    </row>
    <row r="49">
      <c r="A49" s="6" t="inlineStr">
        <is>
          <t>射程</t>
        </is>
      </c>
      <c r="B49" s="8" t="inlineStr">
        <is>
          <t>射程</t>
        </is>
      </c>
      <c r="C49" s="8" t="inlineStr">
        <is>
          <t>Range</t>
        </is>
      </c>
      <c r="D49" s="8" t="inlineStr">
        <is>
          <t>Portée</t>
        </is>
      </c>
    </row>
    <row r="50">
      <c r="A50" s="6" t="inlineStr">
        <is>
          <t>已在发展另外两条路线</t>
        </is>
      </c>
      <c r="B50" s="8" t="inlineStr">
        <is>
          <t>已在发展另外两条路线</t>
        </is>
      </c>
      <c r="C50" s="8" t="inlineStr">
        <is>
          <t>Already developing two other paths</t>
        </is>
      </c>
      <c r="D50" s="8" t="inlineStr">
        <is>
          <t>Deux autres voies déjà développées</t>
        </is>
      </c>
    </row>
    <row r="51">
      <c r="A51" s="6" t="inlineStr">
        <is>
          <t>已满级</t>
        </is>
      </c>
      <c r="B51" s="8" t="inlineStr">
        <is>
          <t>已满级</t>
        </is>
      </c>
      <c r="C51" s="8" t="inlineStr">
        <is>
          <t>Maxed</t>
        </is>
      </c>
      <c r="D51" s="8" t="inlineStr">
        <is>
          <t>Au max</t>
        </is>
      </c>
    </row>
    <row r="52">
      <c r="A52" s="6" t="inlineStr">
        <is>
          <t>已达上限</t>
        </is>
      </c>
      <c r="B52" s="8" t="inlineStr">
        <is>
          <t>已达上限</t>
        </is>
      </c>
      <c r="C52" s="8" t="inlineStr">
        <is>
          <t>At cap</t>
        </is>
      </c>
      <c r="D52" s="8" t="inlineStr">
        <is>
          <t>Plafond atteint</t>
        </is>
      </c>
    </row>
    <row r="53">
      <c r="A53" s="6" t="inlineStr">
        <is>
          <t>已适应：{x}</t>
        </is>
      </c>
      <c r="B53" s="8" t="inlineStr">
        <is>
          <t>已适应：{x}</t>
        </is>
      </c>
      <c r="C53" s="8" t="inlineStr">
        <is>
          <t>Adapted: {x}</t>
        </is>
      </c>
      <c r="D53" s="8" t="inlineStr">
        <is>
          <t>Adapté : {x}</t>
        </is>
      </c>
    </row>
    <row r="54">
      <c r="A54" s="6" t="inlineStr">
        <is>
          <t>开始第 1 波</t>
        </is>
      </c>
      <c r="B54" s="8" t="inlineStr">
        <is>
          <t>开始第 1 波</t>
        </is>
      </c>
      <c r="C54" s="8" t="inlineStr">
        <is>
          <t>Start wave 1</t>
        </is>
      </c>
      <c r="D54" s="8" t="inlineStr">
        <is>
          <t>Lancer la vague 1</t>
        </is>
      </c>
    </row>
    <row r="55">
      <c r="A55" s="6" t="inlineStr">
        <is>
          <t>开局：开启起手神秘箱</t>
        </is>
      </c>
      <c r="B55" s="8" t="inlineStr">
        <is>
          <t>开局：开启起手神秘箱</t>
        </is>
      </c>
      <c r="C55" s="8" t="inlineStr">
        <is>
          <t>Start: open your first Mystery Box</t>
        </is>
      </c>
      <c r="D55" s="8" t="inlineStr">
        <is>
          <t>Départ : ouvre ta première Mystery Box</t>
        </is>
      </c>
    </row>
    <row r="56">
      <c r="A56" s="6" t="inlineStr">
        <is>
          <t>开箱中</t>
        </is>
      </c>
      <c r="B56" s="8" t="inlineStr">
        <is>
          <t>开箱中</t>
        </is>
      </c>
      <c r="C56" s="8" t="inlineStr">
        <is>
          <t>Opening box</t>
        </is>
      </c>
      <c r="D56" s="8" t="inlineStr">
        <is>
          <t>Ouverture</t>
        </is>
      </c>
    </row>
    <row r="57">
      <c r="A57" s="6" t="inlineStr">
        <is>
          <t>当前全局效果：</t>
        </is>
      </c>
      <c r="B57" s="8" t="inlineStr">
        <is>
          <t>当前全局效果：</t>
        </is>
      </c>
      <c r="C57" s="8" t="inlineStr">
        <is>
          <t xml:space="preserve">Active effects: </t>
        </is>
      </c>
      <c r="D57" s="8" t="inlineStr">
        <is>
          <t xml:space="preserve">Effets actifs : </t>
        </is>
      </c>
    </row>
    <row r="58">
      <c r="A58" s="6" t="inlineStr">
        <is>
          <t>徽章</t>
        </is>
      </c>
      <c r="B58" s="8" t="inlineStr">
        <is>
          <t>徽章</t>
        </is>
      </c>
      <c r="C58" s="8" t="inlineStr">
        <is>
          <t>Badge</t>
        </is>
      </c>
      <c r="D58" s="8" t="inlineStr">
        <is>
          <t>Badge</t>
        </is>
      </c>
    </row>
    <row r="59">
      <c r="A59" s="6" t="inlineStr">
        <is>
          <t>提前开波 +{n} GST</t>
        </is>
      </c>
      <c r="B59" s="8" t="inlineStr">
        <is>
          <t>提前开波 +{n} GST</t>
        </is>
      </c>
      <c r="C59" s="8" t="inlineStr">
        <is>
          <t>Early start +{n} GST</t>
        </is>
      </c>
      <c r="D59" s="8" t="inlineStr">
        <is>
          <t>Départ anticipé +{n} GST</t>
        </is>
      </c>
    </row>
    <row r="60">
      <c r="A60" s="6" t="inlineStr">
        <is>
          <t>放置装置</t>
        </is>
      </c>
      <c r="B60" s="8" t="inlineStr">
        <is>
          <t>放置装置</t>
        </is>
      </c>
      <c r="C60" s="8" t="inlineStr">
        <is>
          <t>Place a device</t>
        </is>
      </c>
      <c r="D60" s="8" t="inlineStr">
        <is>
          <t>Placer un dispositif</t>
        </is>
      </c>
    </row>
    <row r="61">
      <c r="A61" s="6" t="inlineStr">
        <is>
          <t>放置费用 −{n}%</t>
        </is>
      </c>
      <c r="B61" s="8" t="inlineStr">
        <is>
          <t>放置费用 −{n}%</t>
        </is>
      </c>
      <c r="C61" s="8" t="inlineStr">
        <is>
          <t>Placement cost −{n}%</t>
        </is>
      </c>
      <c r="D61" s="8" t="inlineStr">
        <is>
          <t>Coût de placement −{n} %</t>
        </is>
      </c>
    </row>
    <row r="62">
      <c r="A62" s="6" t="inlineStr">
        <is>
          <t>效果</t>
        </is>
      </c>
      <c r="B62" s="8" t="inlineStr">
        <is>
          <t>效果</t>
        </is>
      </c>
      <c r="C62" s="8" t="inlineStr">
        <is>
          <t>Effect</t>
        </is>
      </c>
      <c r="D62" s="8" t="inlineStr">
        <is>
          <t>Effet</t>
        </is>
      </c>
    </row>
    <row r="63">
      <c r="A63" s="6" t="inlineStr">
        <is>
          <t>效果 +2</t>
        </is>
      </c>
      <c r="B63" s="8" t="inlineStr">
        <is>
          <t>效果 +2</t>
        </is>
      </c>
      <c r="C63" s="8" t="inlineStr">
        <is>
          <t>Effect +2</t>
        </is>
      </c>
      <c r="D63" s="8" t="inlineStr">
        <is>
          <t>Effet +2</t>
        </is>
      </c>
    </row>
    <row r="64">
      <c r="A64" s="6" t="inlineStr">
        <is>
          <t>数值没有经过试玩平衡。</t>
        </is>
      </c>
      <c r="B64" s="8" t="inlineStr">
        <is>
          <t>数值没有经过试玩平衡。</t>
        </is>
      </c>
      <c r="C64" s="8" t="inlineStr">
        <is>
          <t>Numbers are not balanced by playtesting yet.</t>
        </is>
      </c>
      <c r="D64" s="8" t="inlineStr">
        <is>
          <t>Les valeurs ne sont pas encore équilibrées.</t>
        </is>
      </c>
    </row>
    <row r="65">
      <c r="A65" s="6" t="inlineStr">
        <is>
          <t>新纪录</t>
        </is>
      </c>
      <c r="B65" s="8" t="inlineStr">
        <is>
          <t>新纪录</t>
        </is>
      </c>
      <c r="C65" s="8" t="inlineStr">
        <is>
          <t>New record</t>
        </is>
      </c>
      <c r="D65" s="8" t="inlineStr">
        <is>
          <t>Nouveau record</t>
        </is>
      </c>
    </row>
    <row r="66">
      <c r="A66" s="6" t="inlineStr">
        <is>
          <t>无漏怪波数 / 15 × 100</t>
        </is>
      </c>
      <c r="B66" s="8" t="inlineStr">
        <is>
          <t>无漏怪波数 / 15 × 100</t>
        </is>
      </c>
      <c r="C66" s="8" t="inlineStr">
        <is>
          <t>Clean waves / 15 × 100</t>
        </is>
      </c>
      <c r="D66" s="8" t="inlineStr">
        <is>
          <t>Vagues sans fuite / 15 × 100</t>
        </is>
      </c>
    </row>
    <row r="67">
      <c r="A67" s="6" t="inlineStr">
        <is>
          <t>无词缀</t>
        </is>
      </c>
      <c r="B67" s="8" t="inlineStr">
        <is>
          <t>无词缀</t>
        </is>
      </c>
      <c r="C67" s="8" t="inlineStr">
        <is>
          <t>No traits</t>
        </is>
      </c>
      <c r="D67" s="8" t="inlineStr">
        <is>
          <t>Aucun trait</t>
        </is>
      </c>
    </row>
    <row r="68">
      <c r="A68" s="6" t="inlineStr">
        <is>
          <t>普通</t>
        </is>
      </c>
      <c r="B68" s="8" t="inlineStr">
        <is>
          <t>普通</t>
        </is>
      </c>
      <c r="C68" s="8" t="inlineStr">
        <is>
          <t>Common</t>
        </is>
      </c>
      <c r="D68" s="8" t="inlineStr">
        <is>
          <t>Commun</t>
        </is>
      </c>
    </row>
    <row r="69">
      <c r="A69" s="6" t="inlineStr">
        <is>
          <t>普通跑者</t>
        </is>
      </c>
      <c r="B69" s="8" t="inlineStr">
        <is>
          <t>普通跑者</t>
        </is>
      </c>
      <c r="C69" s="8" t="inlineStr">
        <is>
          <t>Regular runners</t>
        </is>
      </c>
      <c r="D69" s="8" t="inlineStr">
        <is>
          <t>Coureurs normaux</t>
        </is>
      </c>
    </row>
    <row r="70">
      <c r="A70" s="6" t="inlineStr">
        <is>
          <t>暴击率 +{n}%</t>
        </is>
      </c>
      <c r="B70" s="8" t="inlineStr">
        <is>
          <t>暴击率 +{n}%</t>
        </is>
      </c>
      <c r="C70" s="8" t="inlineStr">
        <is>
          <t>Crit chance +{n}%</t>
        </is>
      </c>
      <c r="D70" s="8" t="inlineStr">
        <is>
          <t>Chance de critique +{n} %</t>
        </is>
      </c>
    </row>
    <row r="71">
      <c r="A71" s="6" t="inlineStr">
        <is>
          <t>最高分 {n}</t>
        </is>
      </c>
      <c r="B71" s="8" t="inlineStr">
        <is>
          <t>最高分 {n}</t>
        </is>
      </c>
      <c r="C71" s="8" t="inlineStr">
        <is>
          <t>Best {n}</t>
        </is>
      </c>
      <c r="D71" s="8" t="inlineStr">
        <is>
          <t>Record {n}</t>
        </is>
      </c>
    </row>
    <row r="72">
      <c r="A72" s="6" t="inlineStr">
        <is>
          <t>本局构筑</t>
        </is>
      </c>
      <c r="B72" s="8" t="inlineStr">
        <is>
          <t>本局构筑</t>
        </is>
      </c>
      <c r="C72" s="8" t="inlineStr">
        <is>
          <t>This run</t>
        </is>
      </c>
      <c r="D72" s="8" t="inlineStr">
        <is>
          <t>Cette partie</t>
        </is>
      </c>
    </row>
    <row r="73">
      <c r="A73" s="6" t="inlineStr">
        <is>
          <t>每波结束开启神秘箱三选一：宝石、GST 红包、GMT 质押、MOOAR 折扣、Gas Hero 毒气、升级卷轴、创世鞋等。局内 GST 只是关卡内货币，不和任何真实资产挂钩。</t>
        </is>
      </c>
      <c r="B73" s="8" t="inlineStr">
        <is>
          <t>每波结束开启神秘箱三选一：宝石、GST 红包、GMT 质押、MOOAR 折扣、Gas Hero 毒气、升级卷轴、创世鞋等。局内 GST 只是关卡内货币，不和任何真实资产挂钩。</t>
        </is>
      </c>
      <c r="C73" s="8" t="inlineStr">
        <is>
          <t>After each wave, open a Mystery Box and pick 1 of 3: gems, GST Red Packets, GMT Staking, MOOAR Discount, Gas Hero Gas, Level-up Scrolls, Genesis Sneakers and more. In-run GST is a level-only currency and is not tied to any real asset.</t>
        </is>
      </c>
      <c r="D73" s="8" t="inlineStr">
        <is>
          <t>Après chaque vague, ouvre une Mystery Box et choisis 1 carte sur 3 : gemmes, Enveloppes GST, Staking GMT, Remise MOOAR, Gaz Gas Hero, Parchemins, Sneakers Genesis, etc. Le GST de la partie est une monnaie de niveau, sans lien avec un actif réel.</t>
        </is>
      </c>
    </row>
    <row r="74">
      <c r="A74" s="6" t="inlineStr">
        <is>
          <t>波次</t>
        </is>
      </c>
      <c r="B74" s="8" t="inlineStr">
        <is>
          <t>波次</t>
        </is>
      </c>
      <c r="C74" s="8" t="inlineStr">
        <is>
          <t>Wave</t>
        </is>
      </c>
      <c r="D74" s="8" t="inlineStr">
        <is>
          <t>Vague</t>
        </is>
      </c>
    </row>
    <row r="75">
      <c r="A75" s="6" t="inlineStr">
        <is>
          <t>洗脑神曲</t>
        </is>
      </c>
      <c r="B75" s="8" t="inlineStr">
        <is>
          <t>洗脑神曲</t>
        </is>
      </c>
      <c r="C75" s="8" t="inlineStr">
        <is>
          <t>Earworm</t>
        </is>
      </c>
      <c r="D75" s="8" t="inlineStr">
        <is>
          <t>Tube entêtant</t>
        </is>
      </c>
    </row>
    <row r="76">
      <c r="A76" s="6" t="inlineStr">
        <is>
          <t>燃脂模式需连续劝退 {n}</t>
        </is>
      </c>
      <c r="B76" s="8" t="inlineStr">
        <is>
          <t>燃脂模式需连续劝退 {n}</t>
        </is>
      </c>
      <c r="C76" s="8" t="inlineStr">
        <is>
          <t>Fat-burn at {n} streak</t>
        </is>
      </c>
      <c r="D76" s="8" t="inlineStr">
        <is>
          <t>Brûle-graisse à {n} d’affilée</t>
        </is>
      </c>
    </row>
    <row r="77">
      <c r="A77" s="6" t="inlineStr">
        <is>
          <t>燃脂模式！</t>
        </is>
      </c>
      <c r="B77" s="8" t="inlineStr">
        <is>
          <t>燃脂模式！</t>
        </is>
      </c>
      <c r="C77" s="8" t="inlineStr">
        <is>
          <t>Fat-burn mode!</t>
        </is>
      </c>
      <c r="D77" s="8" t="inlineStr">
        <is>
          <t>Mode brûle-graisse !</t>
        </is>
      </c>
    </row>
    <row r="78">
      <c r="A78" s="6" t="inlineStr">
        <is>
          <t>爆破</t>
        </is>
      </c>
      <c r="B78" s="8" t="inlineStr">
        <is>
          <t>爆破</t>
        </is>
      </c>
      <c r="C78" s="8" t="inlineStr">
        <is>
          <t xml:space="preserve">Blast </t>
        </is>
      </c>
      <c r="D78" s="8" t="inlineStr">
        <is>
          <t xml:space="preserve">Piste </t>
        </is>
      </c>
    </row>
    <row r="79">
      <c r="A79" s="6" t="inlineStr">
        <is>
          <t>爆破跑道</t>
        </is>
      </c>
      <c r="B79" s="8" t="inlineStr">
        <is>
          <t>爆破跑道</t>
        </is>
      </c>
      <c r="C79" s="8" t="inlineStr">
        <is>
          <t>Blast Track</t>
        </is>
      </c>
      <c r="D79" s="8" t="inlineStr">
        <is>
          <t>Piste Explosive</t>
        </is>
      </c>
    </row>
    <row r="80">
      <c r="A80" s="6" t="inlineStr">
        <is>
          <t>王之宝库</t>
        </is>
      </c>
      <c r="B80" s="8" t="inlineStr">
        <is>
          <t>王之宝库</t>
        </is>
      </c>
      <c r="C80" s="8" t="inlineStr">
        <is>
          <t>Royal Treasury</t>
        </is>
      </c>
      <c r="D80" s="8" t="inlineStr">
        <is>
          <t>Trésor royal</t>
        </is>
      </c>
    </row>
    <row r="81">
      <c r="A81" s="6" t="inlineStr">
        <is>
          <t>玩法说明</t>
        </is>
      </c>
      <c r="B81" s="8" t="inlineStr">
        <is>
          <t>玩法说明</t>
        </is>
      </c>
      <c r="C81" s="8" t="inlineStr">
        <is>
          <t>How to play</t>
        </is>
      </c>
      <c r="D81" s="8" t="inlineStr">
        <is>
          <t>Comment jouer</t>
        </is>
      </c>
    </row>
    <row r="82">
      <c r="A82" s="6" t="inlineStr">
        <is>
          <t>盾破</t>
        </is>
      </c>
      <c r="B82" s="8" t="inlineStr">
        <is>
          <t>盾破</t>
        </is>
      </c>
      <c r="C82" s="8" t="inlineStr">
        <is>
          <t>Shield broken</t>
        </is>
      </c>
      <c r="D82" s="8" t="inlineStr">
        <is>
          <t>Bouclier brisé</t>
        </is>
      </c>
    </row>
    <row r="83">
      <c r="A83" s="6" t="inlineStr">
        <is>
          <t>神秘箱轰炸</t>
        </is>
      </c>
      <c r="B83" s="8" t="inlineStr">
        <is>
          <t>神秘箱轰炸</t>
        </is>
      </c>
      <c r="C83" s="8" t="inlineStr">
        <is>
          <t>Mystery Box Strike</t>
        </is>
      </c>
      <c r="D83" s="8" t="inlineStr">
        <is>
          <t>Frappe Mystery Box</t>
        </is>
      </c>
    </row>
    <row r="84">
      <c r="A84" s="6" t="inlineStr">
        <is>
          <t>稀有</t>
        </is>
      </c>
      <c r="B84" s="8" t="inlineStr">
        <is>
          <t>稀有</t>
        </is>
      </c>
      <c r="C84" s="8" t="inlineStr">
        <is>
          <t>Rare</t>
        </is>
      </c>
      <c r="D84" s="8" t="inlineStr">
        <is>
          <t>Rare</t>
        </is>
      </c>
    </row>
    <row r="85">
      <c r="A85" s="6" t="inlineStr">
        <is>
          <t>稳</t>
        </is>
      </c>
      <c r="B85" s="8" t="inlineStr">
        <is>
          <t>稳</t>
        </is>
      </c>
      <c r="C85" s="8" t="inlineStr">
        <is>
          <t>Resist</t>
        </is>
      </c>
      <c r="D85" s="8" t="inlineStr">
        <is>
          <t>Résiste</t>
        </is>
      </c>
    </row>
    <row r="86">
      <c r="A86" s="6" t="inlineStr">
        <is>
          <t>稳妥</t>
        </is>
      </c>
      <c r="B86" s="8" t="inlineStr">
        <is>
          <t>稳妥</t>
        </is>
      </c>
      <c r="C86" s="8" t="inlineStr">
        <is>
          <t>Safe</t>
        </is>
      </c>
      <c r="D86" s="8" t="inlineStr">
        <is>
          <t>Sûr</t>
        </is>
      </c>
    </row>
    <row r="87">
      <c r="A87" s="6" t="inlineStr">
        <is>
          <t>空位 · 选一个装置</t>
        </is>
      </c>
      <c r="B87" s="8" t="inlineStr">
        <is>
          <t>空位 · 选一个装置</t>
        </is>
      </c>
      <c r="C87" s="8" t="inlineStr">
        <is>
          <t>Empty spot · choose a device</t>
        </is>
      </c>
      <c r="D87" s="8" t="inlineStr">
        <is>
          <t>Emplacement libre · choisis un dispositif</t>
        </is>
      </c>
    </row>
    <row r="88">
      <c r="A88" s="6" t="inlineStr">
        <is>
          <t>立即开始第 {n} 波 · +{b} GST</t>
        </is>
      </c>
      <c r="B88" s="8" t="inlineStr">
        <is>
          <t>立即开始第 {n} 波 · +{b} GST</t>
        </is>
      </c>
      <c r="C88" s="8" t="inlineStr">
        <is>
          <t>Start wave {n} now · +{b} GST</t>
        </is>
      </c>
      <c r="D88" s="8" t="inlineStr">
        <is>
          <t>Lancer la vague {n} · +{b} GST</t>
        </is>
      </c>
    </row>
    <row r="89">
      <c r="A89" s="6" t="inlineStr">
        <is>
          <t>第 {n} 波</t>
        </is>
      </c>
      <c r="B89" s="8" t="inlineStr">
        <is>
          <t>第 {n} 波</t>
        </is>
      </c>
      <c r="C89" s="8" t="inlineStr">
        <is>
          <t>Wave {n}</t>
        </is>
      </c>
      <c r="D89" s="8" t="inlineStr">
        <is>
          <t>Vague {n}</t>
        </is>
      </c>
    </row>
    <row r="90">
      <c r="A90" s="6" t="inlineStr">
        <is>
          <t>第 {n} 波守住 · +{g} GST</t>
        </is>
      </c>
      <c r="B90" s="8" t="inlineStr">
        <is>
          <t>第 {n} 波守住 · +{g} GST</t>
        </is>
      </c>
      <c r="C90" s="8" t="inlineStr">
        <is>
          <t>Wave {n} held · +{g} GST</t>
        </is>
      </c>
      <c r="D90" s="8" t="inlineStr">
        <is>
          <t>Vague {n} tenue · +{g} GST</t>
        </is>
      </c>
    </row>
    <row r="91">
      <c r="A91" s="6" t="inlineStr">
        <is>
          <t>第 {n} 波进行中</t>
        </is>
      </c>
      <c r="B91" s="8" t="inlineStr">
        <is>
          <t>第 {n} 波进行中</t>
        </is>
      </c>
      <c r="C91" s="8" t="inlineStr">
        <is>
          <t>Wave {n} in progress</t>
        </is>
      </c>
      <c r="D91" s="8" t="inlineStr">
        <is>
          <t>Vague {n} en cours</t>
        </is>
      </c>
    </row>
    <row r="92">
      <c r="A92" s="6" t="inlineStr">
        <is>
          <t>第 {r} 局 · 最高分 {b}</t>
        </is>
      </c>
      <c r="B92" s="8" t="inlineStr">
        <is>
          <t>第 {r} 局 · 最高分 {b}</t>
        </is>
      </c>
      <c r="C92" s="8" t="inlineStr">
        <is>
          <t>Run {r} · best {b}</t>
        </is>
      </c>
      <c r="D92" s="8" t="inlineStr">
        <is>
          <t>Partie {r} · record {b}</t>
        </is>
      </c>
    </row>
    <row r="93">
      <c r="A93" s="6" t="inlineStr">
        <is>
          <t>第 {r} 局 · 精英波 {e} 次</t>
        </is>
      </c>
      <c r="B93" s="8" t="inlineStr">
        <is>
          <t>第 {r} 局 · 精英波 {e} 次</t>
        </is>
      </c>
      <c r="C93" s="8" t="inlineStr">
        <is>
          <t>Run {r} · {e} elite waves</t>
        </is>
      </c>
      <c r="D93" s="8" t="inlineStr">
        <is>
          <t>Partie {r} · {e} vagues d’élite</t>
        </is>
      </c>
    </row>
    <row r="94">
      <c r="A94" s="6" t="inlineStr">
        <is>
          <t>精英奖励：这次的神秘箱只出稀有和传说。</t>
        </is>
      </c>
      <c r="B94" s="8" t="inlineStr">
        <is>
          <t>精英奖励：这次的神秘箱只出稀有和传说。</t>
        </is>
      </c>
      <c r="C94" s="8" t="inlineStr">
        <is>
          <t>Elite reward: this Mystery Box only holds rare and legendary cards.</t>
        </is>
      </c>
      <c r="D94" s="8" t="inlineStr">
        <is>
          <t>Bonus d’élite : cette Mystery Box ne contient que du rare et du légendaire.</t>
        </is>
      </c>
    </row>
    <row r="95">
      <c r="A95" s="6" t="inlineStr">
        <is>
          <t>精英小队</t>
        </is>
      </c>
      <c r="B95" s="8" t="inlineStr">
        <is>
          <t>精英小队</t>
        </is>
      </c>
      <c r="C95" s="8" t="inlineStr">
        <is>
          <t>Elite squad</t>
        </is>
      </c>
      <c r="D95" s="8" t="inlineStr">
        <is>
          <t>Escouade d’élite</t>
        </is>
      </c>
    </row>
    <row r="96">
      <c r="A96" s="6" t="inlineStr">
        <is>
          <t>精英波</t>
        </is>
      </c>
      <c r="B96" s="8" t="inlineStr">
        <is>
          <t>精英波</t>
        </is>
      </c>
      <c r="C96" s="8" t="inlineStr">
        <is>
          <t>Elite wave</t>
        </is>
      </c>
      <c r="D96" s="8" t="inlineStr">
        <is>
          <t>Vague d’élite</t>
        </is>
      </c>
    </row>
    <row r="97">
      <c r="A97" s="6" t="inlineStr">
        <is>
          <t>终点</t>
        </is>
      </c>
      <c r="B97" s="8" t="inlineStr">
        <is>
          <t>终点</t>
        </is>
      </c>
      <c r="C97" s="8" t="inlineStr">
        <is>
          <t>Finish</t>
        </is>
      </c>
      <c r="D97" s="8" t="inlineStr">
        <is>
          <t>Arrivée</t>
        </is>
      </c>
    </row>
    <row r="98">
      <c r="A98" s="6" t="inlineStr">
        <is>
          <t>生命</t>
        </is>
      </c>
      <c r="B98" s="8" t="inlineStr">
        <is>
          <t>生命</t>
        </is>
      </c>
      <c r="C98" s="8" t="inlineStr">
        <is>
          <t>Lives</t>
        </is>
      </c>
      <c r="D98" s="8" t="inlineStr">
        <is>
          <t>Vies</t>
        </is>
      </c>
    </row>
    <row r="99">
      <c r="A99" s="6" t="inlineStr">
        <is>
          <t>生命 −{n}</t>
        </is>
      </c>
      <c r="B99" s="8" t="inlineStr">
        <is>
          <t>生命 −{n}</t>
        </is>
      </c>
      <c r="C99" s="8" t="inlineStr">
        <is>
          <t>Lives −{n}</t>
        </is>
      </c>
      <c r="D99" s="8" t="inlineStr">
        <is>
          <t>Vies −{n}</t>
        </is>
      </c>
    </row>
    <row r="100">
      <c r="A100" s="6" t="inlineStr">
        <is>
          <t>范围</t>
        </is>
      </c>
      <c r="B100" s="8" t="inlineStr">
        <is>
          <t>范围</t>
        </is>
      </c>
      <c r="C100" s="8" t="inlineStr">
        <is>
          <t>Area</t>
        </is>
      </c>
      <c r="D100" s="8" t="inlineStr">
        <is>
          <t>Zone</t>
        </is>
      </c>
    </row>
    <row r="101">
      <c r="A101" s="6" t="inlineStr">
        <is>
          <t>装置</t>
        </is>
      </c>
      <c r="B101" s="8" t="inlineStr">
        <is>
          <t>装置</t>
        </is>
      </c>
      <c r="C101" s="8" t="inlineStr">
        <is>
          <t>Device</t>
        </is>
      </c>
      <c r="D101" s="8" t="inlineStr">
        <is>
          <t>Dispositif</t>
        </is>
      </c>
    </row>
    <row r="102">
      <c r="A102" s="6" t="inlineStr">
        <is>
          <t>装置效果 {s}{n}%</t>
        </is>
      </c>
      <c r="B102" s="8" t="inlineStr">
        <is>
          <t>装置效果 {s}{n}%</t>
        </is>
      </c>
      <c r="C102" s="8" t="inlineStr">
        <is>
          <t>Device effect {s}{n}%</t>
        </is>
      </c>
      <c r="D102" s="8" t="inlineStr">
        <is>
          <t>Effet des dispositifs {s}{n} %</t>
        </is>
      </c>
    </row>
    <row r="103">
      <c r="A103" s="6" t="inlineStr">
        <is>
          <t>起点</t>
        </is>
      </c>
      <c r="B103" s="8" t="inlineStr">
        <is>
          <t>起点</t>
        </is>
      </c>
      <c r="C103" s="8" t="inlineStr">
        <is>
          <t>Start</t>
        </is>
      </c>
      <c r="D103" s="8" t="inlineStr">
        <is>
          <t>Départ</t>
        </is>
      </c>
    </row>
    <row r="104">
      <c r="A104" s="6" t="inlineStr">
        <is>
          <t>跑道</t>
        </is>
      </c>
      <c r="B104" s="8" t="inlineStr">
        <is>
          <t>跑道</t>
        </is>
      </c>
      <c r="C104" s="8" t="inlineStr">
        <is>
          <t>Track</t>
        </is>
      </c>
      <c r="D104" s="8" t="inlineStr">
        <is>
          <t>Explosive</t>
        </is>
      </c>
    </row>
    <row r="105">
      <c r="A105" s="6" t="inlineStr">
        <is>
          <t>辣椒油</t>
        </is>
      </c>
      <c r="B105" s="8" t="inlineStr">
        <is>
          <t>辣椒油</t>
        </is>
      </c>
      <c r="C105" s="8" t="inlineStr">
        <is>
          <t>Chili Oil</t>
        </is>
      </c>
      <c r="D105" s="8" t="inlineStr">
        <is>
          <t>Huile pimentée</t>
        </is>
      </c>
    </row>
    <row r="106">
      <c r="A106" s="6" t="inlineStr">
        <is>
          <t>还没有卡</t>
        </is>
      </c>
      <c r="B106" s="8" t="inlineStr">
        <is>
          <t>还没有卡</t>
        </is>
      </c>
      <c r="C106" s="8" t="inlineStr">
        <is>
          <t>No cards yet</t>
        </is>
      </c>
      <c r="D106" s="8" t="inlineStr">
        <is>
          <t>Aucune carte</t>
        </is>
      </c>
    </row>
    <row r="107">
      <c r="A107" s="6" t="inlineStr">
        <is>
          <t>连续劝退 ×{n}</t>
        </is>
      </c>
      <c r="B107" s="8" t="inlineStr">
        <is>
          <t>连续劝退 ×{n}</t>
        </is>
      </c>
      <c r="C107" s="8" t="inlineStr">
        <is>
          <t>Streak ×{n}</t>
        </is>
      </c>
      <c r="D107" s="8" t="inlineStr">
        <is>
          <t>Série ×{n}</t>
        </is>
      </c>
    </row>
    <row r="108">
      <c r="A108" s="6" t="inlineStr">
        <is>
          <t>退赛通知</t>
        </is>
      </c>
      <c r="B108" s="8" t="inlineStr">
        <is>
          <t>退赛通知</t>
        </is>
      </c>
      <c r="C108" s="8" t="inlineStr">
        <is>
          <t>DNF notice</t>
        </is>
      </c>
      <c r="D108" s="8" t="inlineStr">
        <is>
          <t>Avis d’abandon</t>
        </is>
      </c>
    </row>
    <row r="109">
      <c r="A109" s="6" t="inlineStr">
        <is>
          <t>选好后有 8 秒布置时间。</t>
        </is>
      </c>
      <c r="B109" s="8" t="inlineStr">
        <is>
          <t>选好后有 8 秒布置时间。</t>
        </is>
      </c>
      <c r="C109" s="8" t="inlineStr">
        <is>
          <t>You get 8 seconds to set up after choosing.</t>
        </is>
      </c>
      <c r="D109" s="8" t="inlineStr">
        <is>
          <t>Tu as 8 secondes pour te préparer.</t>
        </is>
      </c>
    </row>
    <row r="110">
      <c r="A110" s="6" t="inlineStr">
        <is>
          <t>选择第 {n} 段跑道</t>
        </is>
      </c>
      <c r="B110" s="8" t="inlineStr">
        <is>
          <t>选择第 {n} 段跑道</t>
        </is>
      </c>
      <c r="C110" s="8" t="inlineStr">
        <is>
          <t>Choose stretch {n}</t>
        </is>
      </c>
      <c r="D110" s="8" t="inlineStr">
        <is>
          <t>Choisis le tronçon {n}</t>
        </is>
      </c>
    </row>
    <row r="111">
      <c r="A111" s="6" t="inlineStr">
        <is>
          <t>通关</t>
        </is>
      </c>
      <c r="B111" s="8" t="inlineStr">
        <is>
          <t>通关</t>
        </is>
      </c>
      <c r="C111" s="8" t="inlineStr">
        <is>
          <t>Territory held!</t>
        </is>
      </c>
      <c r="D111" s="8" t="inlineStr">
        <is>
          <t>Territoire défendu !</t>
        </is>
      </c>
    </row>
    <row r="112">
      <c r="A112" s="6" t="inlineStr">
        <is>
          <t>重低音</t>
        </is>
      </c>
      <c r="B112" s="8" t="inlineStr">
        <is>
          <t>重低音</t>
        </is>
      </c>
      <c r="C112" s="8" t="inlineStr">
        <is>
          <t>Heavy Bass</t>
        </is>
      </c>
      <c r="D112" s="8" t="inlineStr">
        <is>
          <t>Basses lourdes</t>
        </is>
      </c>
    </row>
    <row r="113">
      <c r="A113" s="6" t="inlineStr">
        <is>
          <t>重抽 · {n} GST</t>
        </is>
      </c>
      <c r="B113" s="8" t="inlineStr">
        <is>
          <t>重抽 · {n} GST</t>
        </is>
      </c>
      <c r="C113" s="8" t="inlineStr">
        <is>
          <t>Reroll · {n} GST</t>
        </is>
      </c>
      <c r="D113" s="8" t="inlineStr">
        <is>
          <t>Relancer · {n} GST</t>
        </is>
      </c>
    </row>
    <row r="114">
      <c r="A114" s="6" t="inlineStr">
        <is>
          <t>铁头冲刺</t>
        </is>
      </c>
      <c r="B114" s="8" t="inlineStr">
        <is>
          <t>铁头冲刺</t>
        </is>
      </c>
      <c r="C114" s="8" t="inlineStr">
        <is>
          <t>Headstrong Dash</t>
        </is>
      </c>
      <c r="D114" s="8" t="inlineStr">
        <is>
          <t>Charge tête baissée</t>
        </is>
      </c>
    </row>
    <row r="115">
      <c r="A115" s="6" t="inlineStr">
        <is>
          <t>锁定</t>
        </is>
      </c>
      <c r="B115" s="8" t="inlineStr">
        <is>
          <t>锁定</t>
        </is>
      </c>
      <c r="C115" s="8" t="inlineStr">
        <is>
          <t>Locked</t>
        </is>
      </c>
      <c r="D115" s="8" t="inlineStr">
        <is>
          <t>Verrouillé</t>
        </is>
      </c>
    </row>
    <row r="116">
      <c r="A116" s="6" t="inlineStr">
        <is>
          <t>间隔</t>
        </is>
      </c>
      <c r="B116" s="8" t="inlineStr">
        <is>
          <t>间隔</t>
        </is>
      </c>
      <c r="C116" s="8" t="inlineStr">
        <is>
          <t>Interval</t>
        </is>
      </c>
      <c r="D116" s="8" t="inlineStr">
        <is>
          <t>Intervalle</t>
        </is>
      </c>
    </row>
    <row r="117">
      <c r="A117" s="6" t="inlineStr">
        <is>
          <t>鞋匠 → {c}</t>
        </is>
      </c>
      <c r="B117" s="8" t="inlineStr">
        <is>
          <t>鞋匠 → {c}</t>
        </is>
      </c>
      <c r="C117" s="8" t="inlineStr">
        <is>
          <t>Cobbler → {c}</t>
        </is>
      </c>
      <c r="D117" s="8" t="inlineStr">
        <is>
          <t>Cordonnier → {c}</t>
        </is>
      </c>
    </row>
    <row r="118">
      <c r="A118" s="6" t="inlineStr">
        <is>
          <t>音乐 关</t>
        </is>
      </c>
      <c r="B118" s="8" t="inlineStr">
        <is>
          <t>音乐 关</t>
        </is>
      </c>
      <c r="C118" s="8" t="inlineStr">
        <is>
          <t>Music off</t>
        </is>
      </c>
      <c r="D118" s="8" t="inlineStr">
        <is>
          <t>Musique off</t>
        </is>
      </c>
    </row>
    <row r="119">
      <c r="A119" s="6" t="inlineStr">
        <is>
          <t>音乐 开</t>
        </is>
      </c>
      <c r="B119" s="8" t="inlineStr">
        <is>
          <t>音乐 开</t>
        </is>
      </c>
      <c r="C119" s="8" t="inlineStr">
        <is>
          <t>Music on</t>
        </is>
      </c>
      <c r="D119" s="8" t="inlineStr">
        <is>
          <t>Musique on</t>
        </is>
      </c>
    </row>
    <row r="120">
      <c r="A120" s="6" t="inlineStr">
        <is>
          <t>音效 关</t>
        </is>
      </c>
      <c r="B120" s="8" t="inlineStr">
        <is>
          <t>音效 关</t>
        </is>
      </c>
      <c r="C120" s="8" t="inlineStr">
        <is>
          <t>Sound off</t>
        </is>
      </c>
      <c r="D120" s="8" t="inlineStr">
        <is>
          <t>Son off</t>
        </is>
      </c>
    </row>
    <row r="121">
      <c r="A121" s="6" t="inlineStr">
        <is>
          <t>音效 开</t>
        </is>
      </c>
      <c r="B121" s="8" t="inlineStr">
        <is>
          <t>音效 开</t>
        </is>
      </c>
      <c r="C121" s="8" t="inlineStr">
        <is>
          <t>Sound on</t>
        </is>
      </c>
      <c r="D121" s="8" t="inlineStr">
        <is>
          <t>Son on</t>
        </is>
      </c>
    </row>
    <row r="122">
      <c r="A122" s="6" t="inlineStr">
        <is>
          <t>领地失守 · 第 {n} 波</t>
        </is>
      </c>
      <c r="B122" s="8" t="inlineStr">
        <is>
          <t>领地失守 · 第 {n} 波</t>
        </is>
      </c>
      <c r="C122" s="8" t="inlineStr">
        <is>
          <t>Territory lost · wave {n}</t>
        </is>
      </c>
      <c r="D122" s="8" t="inlineStr">
        <is>
          <t>Territoire perdu · vague {n}</t>
        </is>
      </c>
    </row>
    <row r="123">
      <c r="A123" s="6" t="inlineStr">
        <is>
          <t>领地跑道，点击虚线圆圈放置装置</t>
        </is>
      </c>
      <c r="B123" s="8" t="inlineStr">
        <is>
          <t>领地跑道，点击虚线圆圈放置装置</t>
        </is>
      </c>
      <c r="C123" s="8" t="inlineStr">
        <is>
          <t>Territory track; tap a dashed circle to place a device</t>
        </is>
      </c>
      <c r="D123" s="8" t="inlineStr">
        <is>
          <t>Piste du territoire ; touche un cercle pour placer un dispositif</t>
        </is>
      </c>
    </row>
    <row r="124">
      <c r="A124" s="6" t="inlineStr">
        <is>
          <t>高风险</t>
        </is>
      </c>
      <c r="B124" s="8" t="inlineStr">
        <is>
          <t>高风险</t>
        </is>
      </c>
      <c r="C124" s="8" t="inlineStr">
        <is>
          <t>Risky</t>
        </is>
      </c>
      <c r="D124" s="8" t="inlineStr">
        <is>
          <t>Risqué</t>
        </is>
      </c>
    </row>
    <row r="125">
      <c r="A125" s="6" t="inlineStr">
        <is>
          <t>（选后可在空位放置）</t>
        </is>
      </c>
      <c r="B125" s="8" t="inlineStr">
        <is>
          <t>（选后可在空位放置）</t>
        </is>
      </c>
      <c r="C125" s="8" t="inlineStr">
        <is>
          <t xml:space="preserve"> (place it on an empty spot)</t>
        </is>
      </c>
      <c r="D125" s="8" t="inlineStr">
        <is>
          <t xml:space="preserve"> (à placer sur un emplacement libre)</t>
        </is>
      </c>
    </row>
    <row r="126">
      <c r="A126" s="6" t="inlineStr">
        <is>
          <t>，下一级「{x}」不可用</t>
        </is>
      </c>
      <c r="B126" s="8" t="inlineStr">
        <is>
          <t>，下一级「{x}」不可用</t>
        </is>
      </c>
      <c r="C126" s="8" t="inlineStr">
        <is>
          <t>; next tier “{x}” unavailable</t>
        </is>
      </c>
      <c r="D126" s="8" t="inlineStr">
        <is>
          <t xml:space="preserve"> ; niveau suivant « {x} » indisponible</t>
        </is>
      </c>
    </row>
    <row r="127">
      <c r="A127" s="6" t="inlineStr">
        <is>
          <t>出手速度 ×{r}，持续 {n} 秒</t>
        </is>
      </c>
      <c r="B127" s="8" t="inlineStr">
        <is>
          <t>出手速度 ×{r}，持续 {n} 秒</t>
        </is>
      </c>
      <c r="C127" s="8" t="inlineStr">
        <is>
          <t>Device speed ×{r} for {n} s</t>
        </is>
      </c>
      <c r="D127" s="8" t="inlineStr">
        <is>
          <t>Vitesse des dispositifs ×{r} pendant {n} s</t>
        </is>
      </c>
    </row>
    <row r="128">
      <c r="A128" s="6" t="inlineStr">
        <is>
          <t>{n} 条提示</t>
        </is>
      </c>
      <c r="B128" s="8" t="inlineStr">
        <is>
          <t>{n} 条提示</t>
        </is>
      </c>
      <c r="C128" s="8" t="inlineStr">
        <is>
          <t>{n} notes</t>
        </is>
      </c>
      <c r="D128" s="8" t="inlineStr">
        <is>
          <t>{n} remarques</t>
        </is>
      </c>
    </row>
    <row r="129">
      <c r="A129" s="6" t="inlineStr">
        <is>
          <t>读取表格的组件加载失败，请检查网络后重试</t>
        </is>
      </c>
      <c r="B129" s="8" t="inlineStr">
        <is>
          <t>读取表格的组件加载失败，请检查网络后重试</t>
        </is>
      </c>
      <c r="C129" s="8" t="inlineStr">
        <is>
          <t>Could not load the spreadsheet reader. Check your connection and try again.</t>
        </is>
      </c>
      <c r="D129" s="8" t="inlineStr">
        <is>
          <t>Impossible de charger le lecteur de tableur. Vérifie ta connexion et réessaie.</t>
        </is>
      </c>
    </row>
    <row r="130">
      <c r="A130" s="6" t="inlineStr">
        <is>
          <t>缺少工作表「{x}」，使用默认值</t>
        </is>
      </c>
      <c r="B130" s="8" t="inlineStr">
        <is>
          <t>缺少工作表「{x}」，使用默认值</t>
        </is>
      </c>
      <c r="C130" s="8" t="inlineStr">
        <is>
          <t>Sheet “{x}” is missing; using defaults</t>
        </is>
      </c>
      <c r="D130" s="8" t="inlineStr">
        <is>
          <t>Feuille « {x} » absente ; valeurs par défaut utilisées</t>
        </is>
      </c>
    </row>
    <row r="131">
      <c r="A131" s="6" t="inlineStr">
        <is>
          <t>{w}：「{v}」不是数字，使用默认值 {d}</t>
        </is>
      </c>
      <c r="B131" s="8" t="inlineStr">
        <is>
          <t>{w}：「{v}」不是数字，使用默认值 {d}</t>
        </is>
      </c>
      <c r="C131" s="8" t="inlineStr">
        <is>
          <t>{w}: “{v}” is not a number; using default {d}</t>
        </is>
      </c>
      <c r="D131" s="8" t="inlineStr">
        <is>
          <t>{w} : « {v} » n’est pas un nombre ; valeur par défaut {d}</t>
        </is>
      </c>
    </row>
    <row r="132">
      <c r="A132" s="6" t="inlineStr">
        <is>
          <t>全局 {x}</t>
        </is>
      </c>
      <c r="B132" s="8" t="inlineStr">
        <is>
          <t>全局 {x}</t>
        </is>
      </c>
      <c r="C132" s="8" t="inlineStr">
        <is>
          <t>Global {x}</t>
        </is>
      </c>
      <c r="D132" s="8" t="inlineStr">
        <is>
          <t>Global {x}</t>
        </is>
      </c>
    </row>
    <row r="133">
      <c r="A133" s="6" t="inlineStr">
        <is>
          <t>全局：未知参数「{x}」已忽略</t>
        </is>
      </c>
      <c r="B133" s="8" t="inlineStr">
        <is>
          <t>全局：未知参数「{x}」已忽略</t>
        </is>
      </c>
      <c r="C133" s="8" t="inlineStr">
        <is>
          <t>Global: unknown setting “{x}” ignored</t>
        </is>
      </c>
      <c r="D133" s="8" t="inlineStr">
        <is>
          <t>Global : paramètre inconnu « {x} » ignoré</t>
        </is>
      </c>
    </row>
    <row r="134">
      <c r="A134" s="6" t="inlineStr">
        <is>
          <t>装置第 {n} 行：未知 id「{x}」已忽略</t>
        </is>
      </c>
      <c r="B134" s="8" t="inlineStr">
        <is>
          <t>装置第 {n} 行：未知 id「{x}」已忽略</t>
        </is>
      </c>
      <c r="C134" s="8" t="inlineStr">
        <is>
          <t>Devices row {n}: unknown id “{x}” ignored</t>
        </is>
      </c>
      <c r="D134" s="8" t="inlineStr">
        <is>
          <t>Dispositifs ligne {n} : id inconnu « {x} » ignoré</t>
        </is>
      </c>
    </row>
    <row r="135">
      <c r="A135" s="6" t="inlineStr">
        <is>
          <t>装置 {x} {k}</t>
        </is>
      </c>
      <c r="B135" s="8" t="inlineStr">
        <is>
          <t>装置 {x} {k}</t>
        </is>
      </c>
      <c r="C135" s="8" t="inlineStr">
        <is>
          <t>Device {x} {k}</t>
        </is>
      </c>
      <c r="D135" s="8" t="inlineStr">
        <is>
          <t>Dispositif {x} {k}</t>
        </is>
      </c>
    </row>
    <row r="136">
      <c r="A136" s="6" t="inlineStr">
        <is>
          <t>升级路线第 {n} 行：找不到对应路线</t>
        </is>
      </c>
      <c r="B136" s="8" t="inlineStr">
        <is>
          <t>升级路线第 {n} 行：找不到对应路线</t>
        </is>
      </c>
      <c r="C136" s="8" t="inlineStr">
        <is>
          <t>Paths row {n}: no matching path</t>
        </is>
      </c>
      <c r="D136" s="8" t="inlineStr">
        <is>
          <t>Voies ligne {n} : voie introuvable</t>
        </is>
      </c>
    </row>
    <row r="137">
      <c r="A137" s="6" t="inlineStr">
        <is>
          <t>升级第 {n} 行：找不到对应等级</t>
        </is>
      </c>
      <c r="B137" s="8" t="inlineStr">
        <is>
          <t>升级第 {n} 行：找不到对应等级</t>
        </is>
      </c>
      <c r="C137" s="8" t="inlineStr">
        <is>
          <t>Upgrades row {n}: no matching tier</t>
        </is>
      </c>
      <c r="D137" s="8" t="inlineStr">
        <is>
          <t>Améliorations ligne {n} : niveau introuvable</t>
        </is>
      </c>
    </row>
    <row r="138">
      <c r="A138" s="6" t="inlineStr">
        <is>
          <t>升级第 {n} 行 cost</t>
        </is>
      </c>
      <c r="B138" s="8" t="inlineStr">
        <is>
          <t>升级第 {n} 行 cost</t>
        </is>
      </c>
      <c r="C138" s="8" t="inlineStr">
        <is>
          <t>Upgrades row {n} cost</t>
        </is>
      </c>
      <c r="D138" s="8" t="inlineStr">
        <is>
          <t>Améliorations ligne {n} cost</t>
        </is>
      </c>
    </row>
    <row r="139">
      <c r="A139" s="6" t="inlineStr">
        <is>
          <t>升级第 {n} 行：效果「{x}」写法有误，保留原效果</t>
        </is>
      </c>
      <c r="B139" s="8" t="inlineStr">
        <is>
          <t>升级第 {n} 行：效果「{x}」写法有误，保留原效果</t>
        </is>
      </c>
      <c r="C139" s="8" t="inlineStr">
        <is>
          <t>Upgrades row {n}: effect “{x}” is invalid; kept the previous effect</t>
        </is>
      </c>
      <c r="D139" s="8" t="inlineStr">
        <is>
          <t>Améliorations ligne {n} : effet « {x} » invalide ; effet précédent conservé</t>
        </is>
      </c>
    </row>
    <row r="140">
      <c r="A140" s="6" t="inlineStr">
        <is>
          <t>敌人第 {n} 行：未知 id 已忽略</t>
        </is>
      </c>
      <c r="B140" s="8" t="inlineStr">
        <is>
          <t>敌人第 {n} 行：未知 id 已忽略</t>
        </is>
      </c>
      <c r="C140" s="8" t="inlineStr">
        <is>
          <t>Enemies row {n}: unknown id ignored</t>
        </is>
      </c>
      <c r="D140" s="8" t="inlineStr">
        <is>
          <t>Ennemis ligne {n} : id inconnu ignoré</t>
        </is>
      </c>
    </row>
    <row r="141">
      <c r="A141" s="6" t="inlineStr">
        <is>
          <t>敌人 {x} {k}</t>
        </is>
      </c>
      <c r="B141" s="8" t="inlineStr">
        <is>
          <t>敌人 {x} {k}</t>
        </is>
      </c>
      <c r="C141" s="8" t="inlineStr">
        <is>
          <t>Enemy {x} {k}</t>
        </is>
      </c>
      <c r="D141" s="8" t="inlineStr">
        <is>
          <t>Ennemi {x} {k}</t>
        </is>
      </c>
    </row>
    <row r="142">
      <c r="A142" s="6" t="inlineStr">
        <is>
          <t>波次第 {n} 行 {k}</t>
        </is>
      </c>
      <c r="B142" s="8" t="inlineStr">
        <is>
          <t>波次第 {n} 行 {k}</t>
        </is>
      </c>
      <c r="C142" s="8" t="inlineStr">
        <is>
          <t>Waves row {n} {k}</t>
        </is>
      </c>
      <c r="D142" s="8" t="inlineStr">
        <is>
          <t>Vagues ligne {n} {k}</t>
        </is>
      </c>
    </row>
    <row r="143">
      <c r="A143" s="6" t="inlineStr">
        <is>
          <t>Boss 第 {n} 行：未知 id 已忽略</t>
        </is>
      </c>
      <c r="B143" s="8" t="inlineStr">
        <is>
          <t>Boss 第 {n} 行：未知 id 已忽略</t>
        </is>
      </c>
      <c r="C143" s="8" t="inlineStr">
        <is>
          <t>Bosses row {n}: unknown id ignored</t>
        </is>
      </c>
      <c r="D143" s="8" t="inlineStr">
        <is>
          <t>Boss ligne {n} : id inconnu ignoré</t>
        </is>
      </c>
    </row>
    <row r="144">
      <c r="A144" s="6" t="inlineStr">
        <is>
          <t>Boss {x} enabled</t>
        </is>
      </c>
      <c r="B144" s="8" t="inlineStr">
        <is>
          <t>Boss {x} enabled</t>
        </is>
      </c>
      <c r="C144" s="8" t="inlineStr">
        <is>
          <t>Boss {x} enabled</t>
        </is>
      </c>
      <c r="D144" s="8" t="inlineStr">
        <is>
          <t>Boss {x} enabled</t>
        </is>
      </c>
    </row>
    <row r="145">
      <c r="A145" s="6" t="inlineStr">
        <is>
          <t>Boss {x} p{i}</t>
        </is>
      </c>
      <c r="B145" s="8" t="inlineStr">
        <is>
          <t>Boss {x} p{i}</t>
        </is>
      </c>
      <c r="C145" s="8" t="inlineStr">
        <is>
          <t>Boss {x} p{i}</t>
        </is>
      </c>
      <c r="D145" s="8" t="inlineStr">
        <is>
          <t>Boss {x} p{i}</t>
        </is>
      </c>
    </row>
    <row r="146">
      <c r="A146" s="6" t="inlineStr">
        <is>
          <t>卡牌第 {n} 行：未知 id「{x}」已忽略</t>
        </is>
      </c>
      <c r="B146" s="8" t="inlineStr">
        <is>
          <t>卡牌第 {n} 行：未知 id「{x}」已忽略</t>
        </is>
      </c>
      <c r="C146" s="8" t="inlineStr">
        <is>
          <t>Cards row {n}: unknown id “{x}” ignored</t>
        </is>
      </c>
      <c r="D146" s="8" t="inlineStr">
        <is>
          <t>Cartes ligne {n} : id inconnu « {x} » ignoré</t>
        </is>
      </c>
    </row>
    <row r="147">
      <c r="A147" s="6" t="inlineStr">
        <is>
          <t>卡牌 {x} enabled</t>
        </is>
      </c>
      <c r="B147" s="8" t="inlineStr">
        <is>
          <t>卡牌 {x} enabled</t>
        </is>
      </c>
      <c r="C147" s="8" t="inlineStr">
        <is>
          <t>Card {x} enabled</t>
        </is>
      </c>
      <c r="D147" s="8" t="inlineStr">
        <is>
          <t>Carte {x} enabled</t>
        </is>
      </c>
    </row>
    <row r="148">
      <c r="A148" s="6" t="inlineStr">
        <is>
          <t>卡牌 {x} stack</t>
        </is>
      </c>
      <c r="B148" s="8" t="inlineStr">
        <is>
          <t>卡牌 {x} stack</t>
        </is>
      </c>
      <c r="C148" s="8" t="inlineStr">
        <is>
          <t>Card {x} stack</t>
        </is>
      </c>
      <c r="D148" s="8" t="inlineStr">
        <is>
          <t>Carte {x} stack</t>
        </is>
      </c>
    </row>
    <row r="149">
      <c r="A149" s="6" t="inlineStr">
        <is>
          <t>卡牌 {x} v1</t>
        </is>
      </c>
      <c r="B149" s="8" t="inlineStr">
        <is>
          <t>卡牌 {x} v1</t>
        </is>
      </c>
      <c r="C149" s="8" t="inlineStr">
        <is>
          <t>Card {x} v1</t>
        </is>
      </c>
      <c r="D149" s="8" t="inlineStr">
        <is>
          <t>Carte {x} v1</t>
        </is>
      </c>
    </row>
    <row r="150">
      <c r="A150" s="6" t="inlineStr">
        <is>
          <t>卡牌 {x} v2</t>
        </is>
      </c>
      <c r="B150" s="8" t="inlineStr">
        <is>
          <t>卡牌 {x} v2</t>
        </is>
      </c>
      <c r="C150" s="8" t="inlineStr">
        <is>
          <t>Card {x} v2</t>
        </is>
      </c>
      <c r="D150" s="8" t="inlineStr">
        <is>
          <t>Carte {x} v2</t>
        </is>
      </c>
    </row>
    <row r="151">
      <c r="A151" s="6" t="inlineStr">
        <is>
          <t>地图第 {n} 行 x</t>
        </is>
      </c>
      <c r="B151" s="8" t="inlineStr">
        <is>
          <t>地图第 {n} 行 x</t>
        </is>
      </c>
      <c r="C151" s="8" t="inlineStr">
        <is>
          <t>Map row {n} x</t>
        </is>
      </c>
      <c r="D151" s="8" t="inlineStr">
        <is>
          <t>Carte ligne {n} x</t>
        </is>
      </c>
    </row>
    <row r="152">
      <c r="A152" s="6" t="inlineStr">
        <is>
          <t>地图第 {n} 行 y</t>
        </is>
      </c>
      <c r="B152" s="8" t="inlineStr">
        <is>
          <t>地图第 {n} 行 y</t>
        </is>
      </c>
      <c r="C152" s="8" t="inlineStr">
        <is>
          <t>Map row {n} y</t>
        </is>
      </c>
      <c r="D152" s="8" t="inlineStr">
        <is>
          <t>Carte ligne {n} y</t>
        </is>
      </c>
    </row>
    <row r="153">
      <c r="A153" s="6" t="inlineStr">
        <is>
          <t>波次为空，使用默认波次</t>
        </is>
      </c>
      <c r="B153" s="8" t="inlineStr">
        <is>
          <t>波次为空，使用默认波次</t>
        </is>
      </c>
      <c r="C153" s="8" t="inlineStr">
        <is>
          <t>No waves found; using default waves</t>
        </is>
      </c>
      <c r="D153" s="8" t="inlineStr">
        <is>
          <t>Aucune vague ; vagues par défaut</t>
        </is>
      </c>
    </row>
    <row r="154">
      <c r="A154" s="6" t="inlineStr">
        <is>
          <t>正在使用：{x}</t>
        </is>
      </c>
      <c r="B154" s="8" t="inlineStr">
        <is>
          <t>正在使用：{x}</t>
        </is>
      </c>
      <c r="C154" s="8" t="inlineStr">
        <is>
          <t>Using: {x}</t>
        </is>
      </c>
      <c r="D154" s="8" t="inlineStr">
        <is>
          <t>Configuration : {x}</t>
        </is>
      </c>
    </row>
    <row r="155">
      <c r="A155" s="6" t="inlineStr">
        <is>
          <t>正在使用：默认配置</t>
        </is>
      </c>
      <c r="B155" s="8" t="inlineStr">
        <is>
          <t>正在使用：默认配置</t>
        </is>
      </c>
      <c r="C155" s="8" t="inlineStr">
        <is>
          <t>Using: default config</t>
        </is>
      </c>
      <c r="D155" s="8" t="inlineStr">
        <is>
          <t>Configuration : par défaut</t>
        </is>
      </c>
    </row>
    <row r="156">
      <c r="A156" s="6" t="inlineStr">
        <is>
          <t>正在读取…</t>
        </is>
      </c>
      <c r="B156" s="8" t="inlineStr">
        <is>
          <t>正在读取…</t>
        </is>
      </c>
      <c r="C156" s="8" t="inlineStr">
        <is>
          <t>Reading…</t>
        </is>
      </c>
      <c r="D156" s="8" t="inlineStr">
        <is>
          <t>Lecture…</t>
        </is>
      </c>
    </row>
    <row r="157">
      <c r="A157" s="6" t="inlineStr">
        <is>
          <t>导入失败：{x}</t>
        </is>
      </c>
      <c r="B157" s="8" t="inlineStr">
        <is>
          <t>导入失败：{x}</t>
        </is>
      </c>
      <c r="C157" s="8" t="inlineStr">
        <is>
          <t>Import failed: {x}</t>
        </is>
      </c>
      <c r="D157" s="8" t="inlineStr">
        <is>
          <t>Échec de l’import : {x}</t>
        </is>
      </c>
    </row>
    <row r="158">
      <c r="A158" s="6" t="inlineStr">
        <is>
          <t>导入配置表 (.xlsx)</t>
        </is>
      </c>
      <c r="B158" s="8" t="inlineStr">
        <is>
          <t>导入配置表 (.xlsx)</t>
        </is>
      </c>
      <c r="C158" s="8" t="inlineStr">
        <is>
          <t>Import config (.xlsx)</t>
        </is>
      </c>
      <c r="D158" s="8" t="inlineStr">
        <is>
          <t>Importer la config (.xlsx)</t>
        </is>
      </c>
    </row>
    <row r="159">
      <c r="A159" s="6" t="inlineStr">
        <is>
          <t>恢复默认</t>
        </is>
      </c>
      <c r="B159" s="8" t="inlineStr">
        <is>
          <t>恢复默认</t>
        </is>
      </c>
      <c r="C159" s="8" t="inlineStr">
        <is>
          <t>Reset to default</t>
        </is>
      </c>
      <c r="D159" s="8" t="inlineStr">
        <is>
          <t>Rétablir par défaut</t>
        </is>
      </c>
    </row>
    <row r="160">
      <c r="A160" s="6" t="inlineStr">
        <is>
          <t>在 Excel 或 Google Sheets 中修改配置表后导出为 .xlsx 再导入，游戏会立即按新数值和名称重新开局。导入的配置只保存在这台设备的浏览器里。</t>
        </is>
      </c>
      <c r="B160" s="8" t="inlineStr">
        <is>
          <t>在 Excel 或 Google Sheets 中修改配置表后导出为 .xlsx 再导入，游戏会立即按新数值和名称重新开局。导入的配置只保存在这台设备的浏览器里。</t>
        </is>
      </c>
      <c r="C160" s="8" t="inlineStr">
        <is>
          <t>Edit the config sheet in Excel or Google Sheets, export it as .xlsx and import it here. The game restarts right away with the new numbers and names. Imported configs are saved only in this browser.</t>
        </is>
      </c>
      <c r="D160" s="8" t="inlineStr">
        <is>
          <t>Modifie la config dans Excel ou Google Sheets, exporte-la en .xlsx puis importe-la ici. La partie redémarre aussitôt avec les nouvelles valeurs et noms. La config importée reste dans ce navigateur.</t>
        </is>
      </c>
    </row>
    <row r="161">
      <c r="A161" s="6" t="inlineStr">
        <is>
          <t>随机</t>
        </is>
      </c>
      <c r="B161" s="8" t="inlineStr">
        <is>
          <t>随机</t>
        </is>
      </c>
      <c r="C161" s="8" t="inlineStr">
        <is>
          <t>Random</t>
        </is>
      </c>
      <c r="D161" s="8" t="inlineStr">
        <is>
          <t>Aléatoire</t>
        </is>
      </c>
    </row>
    <row r="162">
      <c r="A162" s="6" t="inlineStr">
        <is>
          <t>跑道选择</t>
        </is>
      </c>
      <c r="B162" s="8" t="inlineStr">
        <is>
          <t>跑道选择</t>
        </is>
      </c>
      <c r="C162" s="8" t="inlineStr">
        <is>
          <t>Track</t>
        </is>
      </c>
      <c r="D162" s="8" t="inlineStr">
        <is>
          <t>Piste</t>
        </is>
      </c>
    </row>
    <row r="163">
      <c r="A163" s="6" t="inlineStr">
        <is>
          <t>本局跑道：{x}。{d}</t>
        </is>
      </c>
      <c r="B163" s="8" t="inlineStr">
        <is>
          <t>本局跑道：{x}。{d}</t>
        </is>
      </c>
      <c r="C163" s="8" t="inlineStr">
        <is>
          <t>Track: {x}. {d}</t>
        </is>
      </c>
      <c r="D163" s="8" t="inlineStr">
        <is>
          <t>Piste : {x}. {d}</t>
        </is>
      </c>
    </row>
    <row r="164">
      <c r="A164" s="6" t="inlineStr">
        <is>
          <t>跑道 {x} enabled</t>
        </is>
      </c>
      <c r="B164" s="8" t="inlineStr">
        <is>
          <t>跑道 {x} enabled</t>
        </is>
      </c>
      <c r="C164" s="8" t="inlineStr">
        <is>
          <t>Track {x} enabled</t>
        </is>
      </c>
      <c r="D164" s="8" t="inlineStr">
        <is>
          <t>Piste {x} enabled</t>
        </is>
      </c>
    </row>
    <row r="165">
      <c r="A165" s="6" t="inlineStr">
        <is>
          <t>跑道 {x} spdMult</t>
        </is>
      </c>
      <c r="B165" s="8" t="inlineStr">
        <is>
          <t>跑道 {x} spdMult</t>
        </is>
      </c>
      <c r="C165" s="8" t="inlineStr">
        <is>
          <t>Track {x} spdMult</t>
        </is>
      </c>
      <c r="D165" s="8" t="inlineStr">
        <is>
          <t>Piste {x} spdMult</t>
        </is>
      </c>
    </row>
    <row r="166">
      <c r="A166" s="6" t="inlineStr">
        <is>
          <t>跑道 {x} hpMult</t>
        </is>
      </c>
      <c r="B166" s="8" t="inlineStr">
        <is>
          <t>跑道 {x} hpMult</t>
        </is>
      </c>
      <c r="C166" s="8" t="inlineStr">
        <is>
          <t>Track {x} hpMult</t>
        </is>
      </c>
      <c r="D166" s="8" t="inlineStr">
        <is>
          <t>Piste {x} hpMult</t>
        </is>
      </c>
    </row>
    <row r="167">
      <c r="A167" s="6" t="inlineStr">
        <is>
          <t>地图：跑道「{x}」不在「跑道列表」里，已忽略</t>
        </is>
      </c>
      <c r="B167" s="8" t="inlineStr">
        <is>
          <t>地图：跑道「{x}」不在「跑道列表」里，已忽略</t>
        </is>
      </c>
      <c r="C167" s="8" t="inlineStr">
        <is>
          <t>Map: track “{x}” is not in the track list; ignored</t>
        </is>
      </c>
      <c r="D167" s="8" t="inlineStr">
        <is>
          <t>Carte : piste « {x} » absente de la liste ; ignorée</t>
        </is>
      </c>
    </row>
    <row r="168">
      <c r="A168" s="6" t="inlineStr">
        <is>
          <t>地图「{x}」：每条路线至少需要 2 个点，保留原跑道</t>
        </is>
      </c>
      <c r="B168" s="8" t="inlineStr">
        <is>
          <t>地图「{x}」：每条路线至少需要 2 个点，保留原跑道</t>
        </is>
      </c>
      <c r="C168" s="8" t="inlineStr">
        <is>
          <t>Map “{x}”: each route needs at least 2 points; kept the previous track</t>
        </is>
      </c>
      <c r="D168" s="8" t="inlineStr">
        <is>
          <t>Carte « {x} » : chaque tracé demande 2 points ; piste précédente conservée</t>
        </is>
      </c>
    </row>
    <row r="169">
      <c r="A169" s="6" t="inlineStr">
        <is>
          <t>地图「{x}」：至少需要 1 个空位，保留原空位</t>
        </is>
      </c>
      <c r="B169" s="8" t="inlineStr">
        <is>
          <t>地图「{x}」：至少需要 1 个空位，保留原空位</t>
        </is>
      </c>
      <c r="C169" s="8" t="inlineStr">
        <is>
          <t>Map “{x}”: at least 1 spot is needed; kept the previous spots</t>
        </is>
      </c>
      <c r="D169" s="8" t="inlineStr">
        <is>
          <t>Carte « {x} » : il faut au moins 1 emplacement ; emplacements précédents conservés</t>
        </is>
      </c>
    </row>
    <row r="170">
      <c r="A170" s="6" t="inlineStr">
        <is>
          <t>清除导入的图片</t>
        </is>
      </c>
      <c r="B170" s="8" t="inlineStr">
        <is>
          <t>清除导入的图片</t>
        </is>
      </c>
      <c r="C170" s="8" t="inlineStr">
        <is>
          <t>Clear imported images</t>
        </is>
      </c>
      <c r="D170" s="8" t="inlineStr">
        <is>
          <t>Effacer les images importées</t>
        </is>
      </c>
    </row>
    <row r="171">
      <c r="A171" s="6" t="inlineStr">
        <is>
          <t>图片文件名用资源编号命名（如 tower.dart.png、boss.yawn.png），会自动替换对应的占位图。编号和尺寸见配置表「美术资源」工作表。</t>
        </is>
      </c>
      <c r="B171" s="8" t="inlineStr">
        <is>
          <t>图片文件名用资源编号命名（如 tower.dart.png、boss.yawn.png），会自动替换对应的占位图。编号和尺寸见配置表「美术资源」工作表。</t>
        </is>
      </c>
      <c r="C171" s="8" t="inlineStr">
        <is>
          <t>Name each image file after its asset key (e.g. tower.dart.png, boss.yawn.png) and it replaces the matching placeholder. Keys and sizes are in the “美术资源” (Art) sheet of the config workbook.</t>
        </is>
      </c>
      <c r="D171" s="8" t="inlineStr">
        <is>
          <t>Nommez chaque image d’après sa clé (ex. tower.dart.png, boss.yawn.png) : elle remplace le dessin provisoire correspondant. Clés et tailles : feuille « 美术资源 » (Art) du classeur.</t>
        </is>
      </c>
    </row>
    <row r="172">
      <c r="A172" s="6" t="inlineStr">
        <is>
          <t>美术资源：全部使用占位图</t>
        </is>
      </c>
      <c r="B172" s="8" t="inlineStr">
        <is>
          <t>美术资源：全部使用占位图</t>
        </is>
      </c>
      <c r="C172" s="8" t="inlineStr">
        <is>
          <t>Art: all placeholders</t>
        </is>
      </c>
      <c r="D172" s="8" t="inlineStr">
        <is>
          <t>Graphismes : tout est provisoire</t>
        </is>
      </c>
    </row>
    <row r="173">
      <c r="A173" s="6" t="inlineStr">
        <is>
          <t>美术资源：已替换 {n} 项（其中导入 {m} 张）</t>
        </is>
      </c>
      <c r="B173" s="8" t="inlineStr">
        <is>
          <t>美术资源：已替换 {n} 项（其中导入 {m} 张）</t>
        </is>
      </c>
      <c r="C173" s="8" t="inlineStr">
        <is>
          <t>Art: {n} replaced ({m} imported)</t>
        </is>
      </c>
      <c r="D173" s="8" t="inlineStr">
        <is>
          <t>Graphismes : {n} remplacés ({m} importés)</t>
        </is>
      </c>
    </row>
    <row r="174">
      <c r="A174" s="6" t="inlineStr">
        <is>
          <t>加载失败：{x}</t>
        </is>
      </c>
      <c r="B174" s="8" t="inlineStr">
        <is>
          <t>加载失败：{x}</t>
        </is>
      </c>
      <c r="C174" s="8" t="inlineStr">
        <is>
          <t>Failed to load: {x}</t>
        </is>
      </c>
      <c r="D174" s="8" t="inlineStr">
        <is>
          <t>Échec du chargement : {x}</t>
        </is>
      </c>
    </row>
    <row r="175">
      <c r="A175" s="6" t="inlineStr">
        <is>
          <t>这些文件名不是资源编号，已跳过：{x}</t>
        </is>
      </c>
      <c r="B175" s="8" t="inlineStr">
        <is>
          <t>这些文件名不是资源编号，已跳过：{x}</t>
        </is>
      </c>
      <c r="C175" s="8" t="inlineStr">
        <is>
          <t>Skipped (file name is not an asset key): {x}</t>
        </is>
      </c>
      <c r="D175" s="8" t="inlineStr">
        <is>
          <t>Ignorés (le nom n’est pas une clé) : {x}</t>
        </is>
      </c>
    </row>
    <row r="176">
      <c r="A176" s="6" t="inlineStr">
        <is>
          <t>图片太大，浏览器存不下，只在本次打开期间有效</t>
        </is>
      </c>
      <c r="B176" s="8" t="inlineStr">
        <is>
          <t>图片太大，浏览器存不下，只在本次打开期间有效</t>
        </is>
      </c>
      <c r="C176" s="8" t="inlineStr">
        <is>
          <t>Images too large for browser storage; they last only until you close the page</t>
        </is>
      </c>
      <c r="D176" s="8" t="inlineStr">
        <is>
          <t>Images trop lourdes pour le navigateur : valables jusqu’à la fermeture de la page</t>
        </is>
      </c>
    </row>
    <row r="177">
      <c r="A177" s="6" t="inlineStr">
        <is>
          <t>美术资源：新编号「{x}」游戏里没有用到</t>
        </is>
      </c>
      <c r="B177" s="8" t="inlineStr">
        <is>
          <t>美术资源：新编号「{x}」游戏里没有用到</t>
        </is>
      </c>
      <c r="C177" s="8" t="inlineStr">
        <is>
          <t>Art: key “{x}” is not used by the game</t>
        </is>
      </c>
      <c r="D177" s="8" t="inlineStr">
        <is>
          <t>Graphismes : la clé « {x} » n’est pas utilisée</t>
        </is>
      </c>
    </row>
    <row r="178">
      <c r="A178" s="6" t="inlineStr">
        <is>
          <t>美术资源 {x} {k}</t>
        </is>
      </c>
      <c r="B178" s="8" t="inlineStr">
        <is>
          <t>美术资源 {x} {k}</t>
        </is>
      </c>
      <c r="C178" s="8" t="inlineStr">
        <is>
          <t>Art {x} {k}</t>
        </is>
      </c>
      <c r="D178" s="8" t="inlineStr">
        <is>
          <t>Graphismes {x} {k}</t>
        </is>
      </c>
    </row>
    <row r="179">
      <c r="A179" s="6" t="inlineStr">
        <is>
          <t>点击开始</t>
        </is>
      </c>
      <c r="B179" s="8" t="inlineStr">
        <is>
          <t>点击开始</t>
        </is>
      </c>
      <c r="C179" s="8" t="inlineStr">
        <is>
          <t>Tap to start</t>
        </is>
      </c>
      <c r="D179" s="8" t="inlineStr">
        <is>
          <t>Touchez pour commencer</t>
        </is>
      </c>
    </row>
    <row r="180">
      <c r="A180" s="6" t="inlineStr">
        <is>
          <t>开跑！</t>
        </is>
      </c>
      <c r="B180" s="8" t="inlineStr">
        <is>
          <t>开跑！</t>
        </is>
      </c>
      <c r="C180" s="8" t="inlineStr">
        <is>
          <t>Go!</t>
        </is>
      </c>
      <c r="D180" s="8" t="inlineStr">
        <is>
          <t>Partez !</t>
        </is>
      </c>
    </row>
    <row r="181">
      <c r="A181" s="6" t="inlineStr">
        <is>
          <t>神秘箱开启中…</t>
        </is>
      </c>
      <c r="B181" s="8" t="inlineStr">
        <is>
          <t>神秘箱开启中…</t>
        </is>
      </c>
      <c r="C181" s="8" t="inlineStr">
        <is>
          <t>Opening the Mystery Box…</t>
        </is>
      </c>
      <c r="D181" s="8" t="inlineStr">
        <is>
          <t>Ouverture de la Mystery Box…</t>
        </is>
      </c>
    </row>
    <row r="182">
      <c r="A182" s="6" t="inlineStr">
        <is>
          <t>准备…</t>
        </is>
      </c>
      <c r="B182" s="8" t="inlineStr">
        <is>
          <t>准备…</t>
        </is>
      </c>
      <c r="C182" s="8" t="inlineStr">
        <is>
          <t>Get ready…</t>
        </is>
      </c>
      <c r="D182" s="8" t="inlineStr">
        <is>
          <t>Prêt…</t>
        </is>
      </c>
    </row>
    <row r="183">
      <c r="A183" s="6" t="inlineStr">
        <is>
          <t>建造装置</t>
        </is>
      </c>
      <c r="B183" s="8" t="inlineStr">
        <is>
          <t>建造装置</t>
        </is>
      </c>
      <c r="C183" s="8" t="inlineStr">
        <is>
          <t>Build a device</t>
        </is>
      </c>
      <c r="D183" s="8" t="inlineStr">
        <is>
          <t>Construire</t>
        </is>
      </c>
    </row>
    <row r="184">
      <c r="A184" s="6" t="inlineStr">
        <is>
          <t>关闭</t>
        </is>
      </c>
      <c r="B184" s="8" t="inlineStr">
        <is>
          <t>关闭</t>
        </is>
      </c>
      <c r="C184" s="8" t="inlineStr">
        <is>
          <t>Close</t>
        </is>
      </c>
      <c r="D184" s="8" t="inlineStr">
        <is>
          <t>Fermer</t>
        </is>
      </c>
    </row>
    <row r="185">
      <c r="A185" s="6" t="inlineStr">
        <is>
          <t>已锁定</t>
        </is>
      </c>
      <c r="B185" s="8" t="inlineStr">
        <is>
          <t>已锁定</t>
        </is>
      </c>
      <c r="C185" s="8" t="inlineStr">
        <is>
          <t>Locked</t>
        </is>
      </c>
      <c r="D185" s="8" t="inlineStr">
        <is>
          <t>Verrouillé</t>
        </is>
      </c>
    </row>
    <row r="186">
      <c r="A186" s="6" t="inlineStr">
        <is>
          <t>主</t>
        </is>
      </c>
      <c r="B186" s="8" t="inlineStr">
        <is>
          <t>主</t>
        </is>
      </c>
      <c r="C186" s="8" t="inlineStr">
        <is>
          <t>Main</t>
        </is>
      </c>
      <c r="D186" s="8" t="inlineStr">
        <is>
          <t>Princ.</t>
        </is>
      </c>
    </row>
    <row r="187">
      <c r="A187" s="6" t="inlineStr">
        <is>
          <t>次</t>
        </is>
      </c>
      <c r="B187" s="8" t="inlineStr">
        <is>
          <t>次</t>
        </is>
      </c>
      <c r="C187" s="8" t="inlineStr">
        <is>
          <t>2nd</t>
        </is>
      </c>
      <c r="D187" s="8" t="inlineStr">
        <is>
          <t>Sec.</t>
        </is>
      </c>
    </row>
    <row r="188">
      <c r="A188" s="6" t="inlineStr">
        <is>
          <t>回收 +{n}</t>
        </is>
      </c>
      <c r="B188" s="8" t="inlineStr">
        <is>
          <t>回收 +{n}</t>
        </is>
      </c>
      <c r="C188" s="8" t="inlineStr">
        <is>
          <t>Recycle +{n}</t>
        </is>
      </c>
      <c r="D188" s="8" t="inlineStr">
        <is>
          <t>Recycler +{n}</t>
        </is>
      </c>
    </row>
    <row r="189">
      <c r="A189" s="6" t="inlineStr">
        <is>
          <t>跑步加成</t>
        </is>
      </c>
      <c r="B189" s="8" t="inlineStr">
        <is>
          <t>跑步加成</t>
        </is>
      </c>
      <c r="C189" s="8" t="inlineStr">
        <is>
          <t>Running boost</t>
        </is>
      </c>
      <c r="D189" s="8" t="inlineStr">
        <is>
          <t>Bonus de course</t>
        </is>
      </c>
    </row>
    <row r="190">
      <c r="A190" s="6" t="inlineStr">
        <is>
          <t>真实跑步会让你的装置更强。原型里用下面的开关模拟；正式版自动读取你在 STEPN 的跑步数据。</t>
        </is>
      </c>
      <c r="B190" s="8" t="inlineStr">
        <is>
          <t>真实跑步会让你的装置更强。原型里用下面的开关模拟；正式版自动读取你在 STEPN 的跑步数据。</t>
        </is>
      </c>
      <c r="C190" s="8" t="inlineStr">
        <is>
          <t>Real runs make your devices stronger. In this prototype you simulate it with the controls below; the live version reads your STEPN running data automatically.</t>
        </is>
      </c>
      <c r="D190" s="8" t="inlineStr">
        <is>
          <t>Courir pour de vrai renforce tes dispositifs. Dans ce prototype, simule-le ci-dessous ; la version finale lira automatiquement tes données de course STEPN.</t>
        </is>
      </c>
    </row>
    <row r="191">
      <c r="A191" s="6" t="inlineStr">
        <is>
          <t>公会天赋（模拟累计 RP）</t>
        </is>
      </c>
      <c r="B191" s="8" t="inlineStr">
        <is>
          <t>公会天赋（模拟累计 RP）</t>
        </is>
      </c>
      <c r="C191" s="8" t="inlineStr">
        <is>
          <t>Guild talent (simulated total RP)</t>
        </is>
      </c>
      <c r="D191" s="8" t="inlineStr">
        <is>
          <t>Talent de guilde (RP cumulés simulés)</t>
        </is>
      </c>
    </row>
    <row r="192">
      <c r="A192" s="6" t="inlineStr">
        <is>
          <t>累计 {r} RP · 未解锁</t>
        </is>
      </c>
      <c r="B192" s="8" t="inlineStr">
        <is>
          <t>累计 {r} RP · 未解锁</t>
        </is>
      </c>
      <c r="C192" s="8" t="inlineStr">
        <is>
          <t>{r} RP total · locked</t>
        </is>
      </c>
      <c r="D192" s="8" t="inlineStr">
        <is>
          <t>{r} RP cumulés · verrouillé</t>
        </is>
      </c>
    </row>
    <row r="193">
      <c r="A193" s="6" t="inlineStr">
        <is>
          <t>累计 {r} RP · {t} 档 +{b}%</t>
        </is>
      </c>
      <c r="B193" s="8" t="inlineStr">
        <is>
          <t>累计 {r} RP · {t} 档 +{b}%</t>
        </is>
      </c>
      <c r="C193" s="8" t="inlineStr">
        <is>
          <t>{r} RP total · tier {t} +{b}%</t>
        </is>
      </c>
      <c r="D193" s="8" t="inlineStr">
        <is>
          <t>{r} RP cumulés · palier {t} +{b} %</t>
        </is>
      </c>
    </row>
    <row r="194">
      <c r="A194" s="6" t="inlineStr">
        <is>
          <t>今日热身：今天在 STEPN 已跑满 {k} km → 当天所有对局装置效果 +{b}%</t>
        </is>
      </c>
      <c r="B194" s="8" t="inlineStr">
        <is>
          <t>今日热身：今天在 STEPN 已跑满 {k} km → 当天所有对局装置效果 +{b}%</t>
        </is>
      </c>
      <c r="C194" s="8" t="inlineStr">
        <is>
          <t>Warm-up: ran at least {k} km in STEPN today → all devices +{b}% effect in every run today</t>
        </is>
      </c>
      <c r="D194" s="8" t="inlineStr">
        <is>
          <t>Échauffement : au moins {k} km courus dans STEPN aujourd’hui → tous les dispositifs +{b} % d’effet dans chaque partie du jour</t>
        </is>
      </c>
    </row>
    <row r="195">
      <c r="A195" s="6"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B195" s="8" t="inlineStr">
        <is>
          <t>天赋怎么提高：每次真实跑步获得 RP（跑步积分）——前 5 km 每 km {a} RP，5–10 km 每 km {b} RP，单日最多 {c} RP。累计 RP 达到 {t1} / {t2} / {t3} 自动解锁一 / 二 / 三档公会天赋，全部装置效果 +{p1}% / +{p2}% / +{p3}%。按每周跑 4 次、每次 4.5 km 计算，大约 1 周、3 周、7 周解锁。</t>
        </is>
      </c>
      <c r="C195" s="8" t="inlineStr">
        <is>
          <t>How to raise your talent: every real run earns RP (Run Points) — {a} RP per km for the first 5 km, {b} RP per km from 5 to 10 km, up to {c} RP a day. Reaching {t1} / {t2} / {t3} total RP unlocks guild talent tier 1 / 2 / 3: all devices +{p1}% / +{p2}% / +{p3}% effect. Running 4 times a week at 4.5 km each, that takes about 1, 3 and 7 weeks.</t>
        </is>
      </c>
      <c r="D195" s="8" t="inlineStr">
        <is>
          <t>Comment monter ton talent : chaque vraie course rapporte des RP (points de course) — {a} RP par km sur les 5 premiers km, {b} RP par km de 5 à 10 km, {c} RP max par jour. À {t1} / {t2} / {t3} RP cumulés, tu débloques le palier 1 / 2 / 3 du talent de guilde : tous les dispositifs +{p1} % / +{p2} % / +{p3} % d’effet. En courant 4 fois par semaine 4,5 km, comptez environ 1, 3 et 7 semaines.</t>
        </is>
      </c>
    </row>
    <row r="196">
      <c r="A196" s="6" t="inlineStr">
        <is>
          <t>当前跑步加成：装置效果 +{n}%</t>
        </is>
      </c>
      <c r="B196" s="8" t="inlineStr">
        <is>
          <t>当前跑步加成：装置效果 +{n}%</t>
        </is>
      </c>
      <c r="C196" s="8" t="inlineStr">
        <is>
          <t>Current running boost: devices +{n}%</t>
        </is>
      </c>
      <c r="D196" s="8" t="inlineStr">
        <is>
          <t>Bonus de course actuel : dispositifs +{n} %</t>
        </is>
      </c>
    </row>
    <row r="197">
      <c r="A197" s="6" t="inlineStr">
        <is>
          <t>跑步加成 +{n}%</t>
        </is>
      </c>
      <c r="B197" s="8" t="inlineStr">
        <is>
          <t>跑步加成 +{n}%</t>
        </is>
      </c>
      <c r="C197" s="8" t="inlineStr">
        <is>
          <t>Running boost +{n}%</t>
        </is>
      </c>
      <c r="D197" s="8" t="inlineStr">
        <is>
          <t>Bonus de course +{n} %</t>
        </is>
      </c>
    </row>
    <row r="198">
      <c r="A198" s="6" t="inlineStr">
        <is>
          <t>红宝石</t>
        </is>
      </c>
      <c r="B198" s="8" t="inlineStr">
        <is>
          <t>红宝石</t>
        </is>
      </c>
      <c r="C198" s="8" t="inlineStr">
        <is>
          <t>Ruby</t>
        </is>
      </c>
      <c r="D198" s="8" t="inlineStr">
        <is>
          <t>Rubis</t>
        </is>
      </c>
    </row>
    <row r="199">
      <c r="A199" s="6" t="inlineStr">
        <is>
          <t>蓝宝石</t>
        </is>
      </c>
      <c r="B199" s="8" t="inlineStr">
        <is>
          <t>蓝宝石</t>
        </is>
      </c>
      <c r="C199" s="8" t="inlineStr">
        <is>
          <t>Sapphire</t>
        </is>
      </c>
      <c r="D199" s="8" t="inlineStr">
        <is>
          <t>Saphir</t>
        </is>
      </c>
    </row>
    <row r="200">
      <c r="A200" s="6" t="inlineStr">
        <is>
          <t>下一级：{x}</t>
        </is>
      </c>
      <c r="B200" s="8" t="inlineStr">
        <is>
          <t>下一级：{x}</t>
        </is>
      </c>
      <c r="C200" s="8" t="inlineStr">
        <is>
          <t>Next: {x}</t>
        </is>
      </c>
      <c r="D200" s="8" t="inlineStr">
        <is>
          <t>Suivant : {x}</t>
        </is>
      </c>
    </row>
    <row r="201">
      <c r="A201" s="6" t="inlineStr">
        <is>
          <t>这里不能放</t>
        </is>
      </c>
      <c r="B201" s="8" t="inlineStr">
        <is>
          <t>这里不能放</t>
        </is>
      </c>
      <c r="C201" s="8" t="inlineStr">
        <is>
          <t>Can’t build here</t>
        </is>
      </c>
      <c r="D201" s="8" t="inlineStr">
        <is>
          <t>Impossible ici</t>
        </is>
      </c>
    </row>
    <row r="202">
      <c r="A202" s="6" t="inlineStr">
        <is>
          <t>取消放置</t>
        </is>
      </c>
      <c r="B202" s="8" t="inlineStr">
        <is>
          <t>取消放置</t>
        </is>
      </c>
      <c r="C202" s="8" t="inlineStr">
        <is>
          <t>Cancel placing</t>
        </is>
      </c>
      <c r="D202" s="8" t="inlineStr">
        <is>
          <t>Annuler</t>
        </is>
      </c>
    </row>
    <row r="203">
      <c r="A203" s="6" t="inlineStr">
        <is>
          <t>＋ 放置点 ×{n}</t>
        </is>
      </c>
      <c r="B203" s="8" t="inlineStr">
        <is>
          <t>＋ 放置点 ×{n}</t>
        </is>
      </c>
      <c r="C203" s="8" t="inlineStr">
        <is>
          <t>+ Spot ×{n}</t>
        </is>
      </c>
      <c r="D203" s="8" t="inlineStr">
        <is>
          <t>+ Emplacement ×{n}</t>
        </is>
      </c>
    </row>
    <row r="204">
      <c r="A204" s="6" t="inlineStr">
        <is>
          <t>点跑道外的空地，新增一个放置点</t>
        </is>
      </c>
      <c r="B204" s="8" t="inlineStr">
        <is>
          <t>点跑道外的空地，新增一个放置点</t>
        </is>
      </c>
      <c r="C204" s="8" t="inlineStr">
        <is>
          <t>Tap open ground off the track to add a spot</t>
        </is>
      </c>
      <c r="D204" s="8" t="inlineStr">
        <is>
          <t>Touche un terrain libre hors piste pour ajouter un emplacement</t>
        </is>
      </c>
    </row>
    <row r="205">
      <c r="A205" s="6" t="inlineStr">
        <is>
          <t>聪</t>
        </is>
      </c>
      <c r="B205" s="8" t="inlineStr">
        <is>
          <t>聪</t>
        </is>
      </c>
      <c r="C205" s="8" t="inlineStr">
        <is>
          <t>sats</t>
        </is>
      </c>
      <c r="D205" s="8" t="inlineStr">
        <is>
          <t>sats</t>
        </is>
      </c>
    </row>
    <row r="206">
      <c r="A206" s="6" t="inlineStr">
        <is>
          <t>创世纪 · 2008–2010</t>
        </is>
      </c>
      <c r="B206" s="8" t="inlineStr">
        <is>
          <t>创世纪 · 2008–2010</t>
        </is>
      </c>
      <c r="C206" s="8" t="inlineStr">
        <is>
          <t>Genesis · 2008–2010</t>
        </is>
      </c>
      <c r="D206" s="8" t="inlineStr">
        <is>
          <t>Genèse · 2008–2010</t>
        </is>
      </c>
    </row>
    <row r="207">
      <c r="A207" s="6" t="inlineStr">
        <is>
          <t>组合</t>
        </is>
      </c>
      <c r="B207" s="8" t="inlineStr">
        <is>
          <t>组合</t>
        </is>
      </c>
      <c r="C207" s="8" t="inlineStr">
        <is>
          <t>Combos</t>
        </is>
      </c>
      <c r="D207" s="8" t="inlineStr">
        <is>
          <t>Combos</t>
        </is>
      </c>
    </row>
    <row r="208">
      <c r="A208" s="6" t="inlineStr">
        <is>
          <t>重试</t>
        </is>
      </c>
      <c r="B208" s="8" t="inlineStr">
        <is>
          <t>重试</t>
        </is>
      </c>
      <c r="C208" s="8" t="inlineStr">
        <is>
          <t>Retry</t>
        </is>
      </c>
      <c r="D208" s="8" t="inlineStr">
        <is>
          <t>Réessayer</t>
        </is>
      </c>
    </row>
    <row r="209">
      <c r="A209" s="6" t="inlineStr">
        <is>
          <t>STEPN 跑者掉进区块链时光隧道，跟着比特币走过最初的三年。</t>
        </is>
      </c>
      <c r="B209" s="8" t="inlineStr">
        <is>
          <t>STEPN 跑者掉进区块链时光隧道，跟着比特币走过最初的三年。</t>
        </is>
      </c>
      <c r="C209" s="8" t="inlineStr">
        <is>
          <t>A STEPN runner falls into a blockchain time tunnel and lives through bitcoin’s first three years.</t>
        </is>
      </c>
      <c r="D209" s="8" t="inlineStr">
        <is>
          <t>Un coureur STEPN tombe dans un tunnel temporel blockchain et vit les trois premières années du bitcoin.</t>
        </is>
      </c>
    </row>
    <row r="210">
      <c r="A210" s="6" t="inlineStr">
        <is>
          <t>累计积分 {n}</t>
        </is>
      </c>
      <c r="B210" s="8" t="inlineStr">
        <is>
          <t>累计积分 {n}</t>
        </is>
      </c>
      <c r="C210" s="8" t="inlineStr">
        <is>
          <t>Points: {n}</t>
        </is>
      </c>
      <c r="D210" s="8" t="inlineStr">
        <is>
          <t>Points : {n}</t>
        </is>
      </c>
    </row>
    <row r="211">
      <c r="A211" s="6" t="inlineStr">
        <is>
          <t>剧情中…</t>
        </is>
      </c>
      <c r="B211" s="8" t="inlineStr">
        <is>
          <t>剧情中…</t>
        </is>
      </c>
      <c r="C211" s="8" t="inlineStr">
        <is>
          <t>Story…</t>
        </is>
      </c>
      <c r="D211" s="8" t="inlineStr">
        <is>
          <t>Histoire…</t>
        </is>
      </c>
    </row>
    <row r="212">
      <c r="A212" s="6" t="inlineStr">
        <is>
          <t>关卡完成</t>
        </is>
      </c>
      <c r="B212" s="8" t="inlineStr">
        <is>
          <t>关卡完成</t>
        </is>
      </c>
      <c r="C212" s="8" t="inlineStr">
        <is>
          <t>Level complete</t>
        </is>
      </c>
      <c r="D212" s="8" t="inlineStr">
        <is>
          <t>Niveau terminé</t>
        </is>
      </c>
    </row>
    <row r="213">
      <c r="A213" s="6" t="inlineStr">
        <is>
          <t>再玩一次</t>
        </is>
      </c>
      <c r="B213" s="8" t="inlineStr">
        <is>
          <t>再玩一次</t>
        </is>
      </c>
      <c r="C213" s="8" t="inlineStr">
        <is>
          <t>Play again</t>
        </is>
      </c>
      <c r="D213" s="8" t="inlineStr">
        <is>
          <t>Rejouer</t>
        </is>
      </c>
    </row>
    <row r="214">
      <c r="A214" s="6" t="inlineStr">
        <is>
          <t>章节地图</t>
        </is>
      </c>
      <c r="B214" s="8" t="inlineStr">
        <is>
          <t>章节地图</t>
        </is>
      </c>
      <c r="C214" s="8" t="inlineStr">
        <is>
          <t>Chapter map</t>
        </is>
      </c>
      <c r="D214" s="8" t="inlineStr">
        <is>
          <t>Carte du chapitre</t>
        </is>
      </c>
    </row>
    <row r="215">
      <c r="A215" s="6" t="inlineStr">
        <is>
          <t>第二章 · 敬请期待</t>
        </is>
      </c>
      <c r="B215" s="8" t="inlineStr">
        <is>
          <t>第二章 · 敬请期待</t>
        </is>
      </c>
      <c r="C215" s="8" t="inlineStr">
        <is>
          <t>Chapter 2 · coming soon</t>
        </is>
      </c>
      <c r="D215" s="8" t="inlineStr">
        <is>
          <t>Chapitre 2 · bientôt</t>
        </is>
      </c>
    </row>
    <row r="216">
      <c r="A216" s="6" t="inlineStr">
        <is>
          <t>图鉴</t>
        </is>
      </c>
      <c r="B216" s="8" t="inlineStr">
        <is>
          <t>图鉴</t>
        </is>
      </c>
      <c r="C216" s="8" t="inlineStr">
        <is>
          <t>Codex</t>
        </is>
      </c>
      <c r="D216" s="8" t="inlineStr">
        <is>
          <t>Codex</t>
        </is>
      </c>
    </row>
    <row r="217">
      <c r="A217" s="6" t="inlineStr">
        <is>
          <t>区块高度</t>
        </is>
      </c>
      <c r="B217" s="8" t="inlineStr">
        <is>
          <t>区块高度</t>
        </is>
      </c>
      <c r="C217" s="8" t="inlineStr">
        <is>
          <t>Block height</t>
        </is>
      </c>
      <c r="D217" s="8" t="inlineStr">
        <is>
          <t>Hauteur</t>
        </is>
      </c>
    </row>
    <row r="218">
      <c r="A218" s="6" t="inlineStr">
        <is>
          <t>区块奖励：选一个，比赛马上继续。</t>
        </is>
      </c>
      <c r="B218" s="8" t="inlineStr">
        <is>
          <t>区块奖励：选一个，比赛马上继续。</t>
        </is>
      </c>
      <c r="C218" s="8" t="inlineStr">
        <is>
          <t>Block reward: pick one and the race resumes.</t>
        </is>
      </c>
      <c r="D218" s="8" t="inlineStr">
        <is>
          <t>Récompense de bloc : choisis-en une et la course reprend.</t>
        </is>
      </c>
    </row>
    <row r="219">
      <c r="A219" s="6" t="inlineStr">
        <is>
          <t>选择关卡</t>
        </is>
      </c>
      <c r="B219" s="8" t="inlineStr">
        <is>
          <t>选择关卡</t>
        </is>
      </c>
      <c r="C219" s="8" t="inlineStr">
        <is>
          <t>Choose a level</t>
        </is>
      </c>
      <c r="D219" s="8" t="inlineStr">
        <is>
          <t>Choisir un niveau</t>
        </is>
      </c>
    </row>
    <row r="220">
      <c r="A220" s="6" t="inlineStr">
        <is>
          <t>这关还没打出组合，试试把两种状态叠在同一个跑者身上。</t>
        </is>
      </c>
      <c r="B220" s="8" t="inlineStr">
        <is>
          <t>这关还没打出组合，试试把两种状态叠在同一个跑者身上。</t>
        </is>
      </c>
      <c r="C220" s="8" t="inlineStr">
        <is>
          <t>No combos this time. Try stacking two statuses on the same runner.</t>
        </is>
      </c>
      <c r="D220" s="8" t="inlineStr">
        <is>
          <t>Aucun combo cette fois. Essaie de cumuler deux états sur le même coureur.</t>
        </is>
      </c>
    </row>
    <row r="221">
      <c r="A221" s="6" t="inlineStr">
        <is>
          <t>快捷键：空格 开波 · F 切换速度 · 1–8 建造 · Q/W/E 升级 · X 回收 · Esc 取消</t>
        </is>
      </c>
      <c r="B221" s="8" t="inlineStr">
        <is>
          <t>快捷键：空格 开波 · F 切换速度 · 1–8 建造 · Q/W/E 升级 · X 回收 · Esc 取消</t>
        </is>
      </c>
      <c r="C221" s="8" t="inlineStr">
        <is>
          <t>Keys: Space start wave · F speed · 1–8 build · Q/W/E upgrade · X recycle · Esc cancel</t>
        </is>
      </c>
      <c r="D221" s="8" t="inlineStr">
        <is>
          <t>Touches : Espace vague · F vitesse · 1–8 construire · Q/W/E améliorer · X recycler · Échap annuler</t>
        </is>
      </c>
    </row>
    <row r="222">
      <c r="A222" s="6" t="inlineStr">
        <is>
          <t>一万枚换两个披萨！</t>
        </is>
      </c>
      <c r="B222" s="8" t="inlineStr">
        <is>
          <t>一万枚换两个披萨！</t>
        </is>
      </c>
      <c r="C222" s="8" t="inlineStr">
        <is>
          <t>10,000 coins for two pizzas!</t>
        </is>
      </c>
      <c r="D222" s="8" t="inlineStr">
        <is>
          <t>10 000 pièces pour deux pizzas !</t>
        </is>
      </c>
    </row>
    <row r="223">
      <c r="A223" s="6" t="inlineStr">
        <is>
          <t>知识卡</t>
        </is>
      </c>
      <c r="B223" s="8" t="inlineStr">
        <is>
          <t>知识卡</t>
        </is>
      </c>
      <c r="C223" s="8" t="inlineStr">
        <is>
          <t>Knowledge</t>
        </is>
      </c>
      <c r="D223" s="8" t="inlineStr">
        <is>
          <t>Savoir</t>
        </is>
      </c>
    </row>
    <row r="224">
      <c r="A224" s="6" t="inlineStr">
        <is>
          <t>新组合：{x}！</t>
        </is>
      </c>
      <c r="B224" s="8" t="inlineStr">
        <is>
          <t>新组合：{x}！</t>
        </is>
      </c>
      <c r="C224" s="8" t="inlineStr">
        <is>
          <t>New combo: {x}!</t>
        </is>
      </c>
      <c r="D224" s="8" t="inlineStr">
        <is>
          <t>Nouveau combo : {x} !</t>
        </is>
      </c>
    </row>
    <row r="225">
      <c r="A225" s="6" t="inlineStr">
        <is>
          <t>下一关</t>
        </is>
      </c>
      <c r="B225" s="8" t="inlineStr">
        <is>
          <t>下一关</t>
        </is>
      </c>
      <c r="C225" s="8" t="inlineStr">
        <is>
          <t>Next level</t>
        </is>
      </c>
      <c r="D225" s="8" t="inlineStr">
        <is>
          <t>Niveau suivant</t>
        </is>
      </c>
    </row>
    <row r="226">
      <c r="A226" s="6" t="inlineStr">
        <is>
          <t>{n}× 速度</t>
        </is>
      </c>
      <c r="B226" s="8" t="inlineStr">
        <is>
          <t>{n}× 速度</t>
        </is>
      </c>
      <c r="C226" s="8" t="inlineStr">
        <is>
          <t>{n}× speed</t>
        </is>
      </c>
      <c r="D226" s="8" t="inlineStr">
        <is>
          <t>Vitesse ×{n}</t>
        </is>
      </c>
    </row>
    <row r="227">
      <c r="A227" s="6" t="inlineStr">
        <is>
          <t>区块 #{h} 被别的矿工抢先挖到了</t>
        </is>
      </c>
      <c r="B227" s="8" t="inlineStr">
        <is>
          <t>区块 #{h} 被别的矿工抢先挖到了</t>
        </is>
      </c>
      <c r="C227" s="8" t="inlineStr">
        <is>
          <t>Block #{h} went to another miner</t>
        </is>
      </c>
      <c r="D227" s="8" t="inlineStr">
        <is>
          <t>Le bloc #{h} est allé à un autre mineur</t>
        </is>
      </c>
    </row>
    <row r="228">
      <c r="A228" s="6" t="inlineStr">
        <is>
          <t>挖到区块</t>
        </is>
      </c>
      <c r="B228" s="8" t="inlineStr">
        <is>
          <t>挖到区块</t>
        </is>
      </c>
      <c r="C228" s="8" t="inlineStr">
        <is>
          <t>Blocks mined</t>
        </is>
      </c>
      <c r="D228" s="8" t="inlineStr">
        <is>
          <t>Blocs minés</t>
        </is>
      </c>
    </row>
    <row r="229">
      <c r="A229" s="6" t="inlineStr">
        <is>
          <t>本关触发的组合</t>
        </is>
      </c>
      <c r="B229" s="8" t="inlineStr">
        <is>
          <t>本关触发的组合</t>
        </is>
      </c>
      <c r="C229" s="8" t="inlineStr">
        <is>
          <t>Combos this level</t>
        </is>
      </c>
      <c r="D229" s="8" t="inlineStr">
        <is>
          <t>Combos de ce niveau</t>
        </is>
      </c>
    </row>
    <row r="230">
      <c r="A230" s="6" t="inlineStr">
        <is>
          <t>组合：{x}</t>
        </is>
      </c>
      <c r="B230" s="8" t="inlineStr">
        <is>
          <t>组合：{x}</t>
        </is>
      </c>
      <c r="C230" s="8" t="inlineStr">
        <is>
          <t>Combos: {x}</t>
        </is>
      </c>
      <c r="D230" s="8" t="inlineStr">
        <is>
          <t>Combos : {x}</t>
        </is>
      </c>
    </row>
    <row r="231">
      <c r="A231" s="6" t="inlineStr">
        <is>
          <t>修复版本上线，溢出的币被回滚</t>
        </is>
      </c>
      <c r="B231" s="8" t="inlineStr">
        <is>
          <t>修复版本上线，溢出的币被回滚</t>
        </is>
      </c>
      <c r="C231" s="8" t="inlineStr">
        <is>
          <t>The fix is live; the overflowed coins are rolled back</t>
        </is>
      </c>
      <c r="D231" s="8" t="inlineStr">
        <is>
          <t>Le correctif est en ligne ; les pièces en trop sont annulées</t>
        </is>
      </c>
    </row>
    <row r="232">
      <c r="A232" s="6" t="inlineStr">
        <is>
          <t>还没触发过。试试把这两种状态叠在同一个跑者身上。</t>
        </is>
      </c>
      <c r="B232" s="8" t="inlineStr">
        <is>
          <t>还没触发过。试试把这两种状态叠在同一个跑者身上。</t>
        </is>
      </c>
      <c r="C232" s="8" t="inlineStr">
        <is>
          <t>Not triggered yet. Try stacking these two statuses on one runner.</t>
        </is>
      </c>
      <c r="D232" s="8" t="inlineStr">
        <is>
          <t>Pas encore déclenché. Cumule ces deux états sur un coureur.</t>
        </is>
      </c>
    </row>
    <row r="233">
      <c r="A233" s="6" t="inlineStr">
        <is>
          <t>出块！#{h}</t>
        </is>
      </c>
      <c r="B233" s="8" t="inlineStr">
        <is>
          <t>出块！#{h}</t>
        </is>
      </c>
      <c r="C233" s="8" t="inlineStr">
        <is>
          <t>Block! #{h}</t>
        </is>
      </c>
      <c r="D233" s="8" t="inlineStr">
        <is>
          <t>Bloc ! #{h}</t>
        </is>
      </c>
    </row>
    <row r="234">
      <c r="A234" s="6" t="inlineStr">
        <is>
          <t>挖到区块 #{h}！</t>
        </is>
      </c>
      <c r="B234" s="8" t="inlineStr">
        <is>
          <t>挖到区块 #{h}！</t>
        </is>
      </c>
      <c r="C234" s="8" t="inlineStr">
        <is>
          <t>Mined block #{h}!</t>
        </is>
      </c>
      <c r="D234" s="8" t="inlineStr">
        <is>
          <t>Bloc #{h} miné !</t>
        </is>
      </c>
    </row>
    <row r="235">
      <c r="A235" s="6" t="inlineStr">
        <is>
          <t>披萨跑者冲出来了</t>
        </is>
      </c>
      <c r="B235" s="8" t="inlineStr">
        <is>
          <t>披萨跑者冲出来了</t>
        </is>
      </c>
      <c r="C235" s="8" t="inlineStr">
        <is>
          <t>Pizza runners incoming</t>
        </is>
      </c>
      <c r="D235" s="8" t="inlineStr">
        <is>
          <t>Les coureurs-pizza arrivent</t>
        </is>
      </c>
    </row>
    <row r="236">
      <c r="A236" s="6" t="inlineStr">
        <is>
          <t>重抽 · {n} 聪</t>
        </is>
      </c>
      <c r="B236" s="8" t="inlineStr">
        <is>
          <t>重抽 · {n} 聪</t>
        </is>
      </c>
      <c r="C236" s="8" t="inlineStr">
        <is>
          <t>Reroll · {n} sats</t>
        </is>
      </c>
      <c r="D236" s="8" t="inlineStr">
        <is>
          <t>Relancer · {n} sats</t>
        </is>
      </c>
    </row>
    <row r="237">
      <c r="A237" s="6" t="inlineStr">
        <is>
          <t>继续 ▶</t>
        </is>
      </c>
      <c r="B237" s="8" t="inlineStr">
        <is>
          <t>继续 ▶</t>
        </is>
      </c>
      <c r="C237" s="8" t="inlineStr">
        <is>
          <t>Next ▶</t>
        </is>
      </c>
      <c r="D237" s="8" t="inlineStr">
        <is>
          <t>Suite ▶</t>
        </is>
      </c>
    </row>
    <row r="238">
      <c r="A238" s="6" t="inlineStr">
        <is>
          <t>收入图鉴</t>
        </is>
      </c>
      <c r="B238" s="8" t="inlineStr">
        <is>
          <t>收入图鉴</t>
        </is>
      </c>
      <c r="C238" s="8" t="inlineStr">
        <is>
          <t>Add to codex</t>
        </is>
      </c>
      <c r="D238" s="8" t="inlineStr">
        <is>
          <t>Ajouter au codex</t>
        </is>
      </c>
    </row>
    <row r="239">
      <c r="A239" s="6" t="inlineStr">
        <is>
          <t>返回章节地图</t>
        </is>
      </c>
      <c r="B239" s="8" t="inlineStr">
        <is>
          <t>返回章节地图</t>
        </is>
      </c>
      <c r="C239" s="8" t="inlineStr">
        <is>
          <t>Back to chapter map</t>
        </is>
      </c>
      <c r="D239" s="8" t="inlineStr">
        <is>
          <t>Retour à la carte</t>
        </is>
      </c>
    </row>
    <row r="240">
      <c r="A240" s="6" t="inlineStr">
        <is>
          <t>跳过</t>
        </is>
      </c>
      <c r="B240" s="8" t="inlineStr">
        <is>
          <t>跳过</t>
        </is>
      </c>
      <c r="C240" s="8" t="inlineStr">
        <is>
          <t>Skip</t>
        </is>
      </c>
      <c r="D240" s="8" t="inlineStr">
        <is>
          <t>Passer</t>
        </is>
      </c>
    </row>
    <row r="241">
      <c r="A241" s="6" t="inlineStr">
        <is>
          <t>经典模式</t>
        </is>
      </c>
      <c r="B241" s="8" t="inlineStr">
        <is>
          <t>经典模式</t>
        </is>
      </c>
      <c r="C241" s="8" t="inlineStr">
        <is>
          <t>Classic mode</t>
        </is>
      </c>
      <c r="D241" s="8" t="inlineStr">
        <is>
          <t>Mode classique</t>
        </is>
      </c>
    </row>
    <row r="242">
      <c r="A242" s="6" t="inlineStr">
        <is>
          <t>开始！</t>
        </is>
      </c>
      <c r="B242" s="8" t="inlineStr">
        <is>
          <t>开始！</t>
        </is>
      </c>
      <c r="C242" s="8" t="inlineStr">
        <is>
          <t>Go!</t>
        </is>
      </c>
      <c r="D242" s="8" t="inlineStr">
        <is>
          <t>C’est parti !</t>
        </is>
      </c>
    </row>
    <row r="243">
      <c r="A243" s="6" t="inlineStr">
        <is>
          <t>算力 {h} · 出块奖励 +{b}%</t>
        </is>
      </c>
      <c r="B243" s="8" t="inlineStr">
        <is>
          <t>算力 {h} · 出块奖励 +{b}%</t>
        </is>
      </c>
      <c r="C243" s="8" t="inlineStr">
        <is>
          <t>Hash {h} · block reward +{b}%</t>
        </is>
      </c>
      <c r="D243" s="8" t="inlineStr">
        <is>
          <t>Puissance {h} · récompense +{b} %</t>
        </is>
      </c>
    </row>
    <row r="244">
      <c r="A244" s="6" t="inlineStr">
        <is>
          <t>全网每隔十几秒出一个区块，你的算力占全网的比例，就是抢到它的几率。挖到区块：得聪，再开一次三选一。</t>
        </is>
      </c>
      <c r="B244" s="8" t="inlineStr">
        <is>
          <t>全网每隔十几秒出一个区块，你的算力占全网的比例，就是抢到它的几率。挖到区块：得聪，再开一次三选一。</t>
        </is>
      </c>
      <c r="C244" s="8" t="inlineStr">
        <is>
          <t>The network makes a block every dozen seconds or so. Your share of total hash power is your chance of winning it. Win a block: sats plus a pick-one-of-three.</t>
        </is>
      </c>
      <c r="D244" s="8" t="inlineStr">
        <is>
          <t>Le réseau produit un bloc toutes les quinze secondes environ. Ta part de la puissance totale est ta chance de le gagner. Bloc gagné : des sats et un choix parmi trois.</t>
        </is>
      </c>
    </row>
    <row r="245">
      <c r="A245" s="6" t="inlineStr">
        <is>
          <t>出块几率</t>
        </is>
      </c>
      <c r="B245" s="8" t="inlineStr">
        <is>
          <t>出块几率</t>
        </is>
      </c>
      <c r="C245" s="8" t="inlineStr">
        <is>
          <t>Win chance</t>
        </is>
      </c>
      <c r="D245" s="8" t="inlineStr">
        <is>
          <t>Chance</t>
        </is>
      </c>
    </row>
    <row r="246">
      <c r="A246" s="6" t="inlineStr">
        <is>
          <t>软分叉！</t>
        </is>
      </c>
      <c r="B246" s="8" t="inlineStr">
        <is>
          <t>软分叉！</t>
        </is>
      </c>
      <c r="C246" s="8" t="inlineStr">
        <is>
          <t>Soft fork!</t>
        </is>
      </c>
      <c r="D246" s="8" t="inlineStr">
        <is>
          <t>Soft fork !</t>
        </is>
      </c>
    </row>
    <row r="247">
      <c r="A247" s="6" t="inlineStr">
        <is>
          <t>原型阶段的链下积分，没有任何实际价值</t>
        </is>
      </c>
      <c r="B247" s="8" t="inlineStr">
        <is>
          <t>原型阶段的链下积分，没有任何实际价值</t>
        </is>
      </c>
      <c r="C247" s="8" t="inlineStr">
        <is>
          <t>off-chain prototype points with no real-world value</t>
        </is>
      </c>
      <c r="D247" s="8" t="inlineStr">
        <is>
          <t>points hors chaîne du prototype, sans valeur réelle</t>
        </is>
      </c>
    </row>
    <row r="248">
      <c r="A248" s="6" t="inlineStr">
        <is>
          <t>你的算力</t>
        </is>
      </c>
      <c r="B248" s="8" t="inlineStr">
        <is>
          <t>你的算力</t>
        </is>
      </c>
      <c r="C248" s="8" t="inlineStr">
        <is>
          <t>Your hash</t>
        </is>
      </c>
      <c r="D248" s="8" t="inlineStr">
        <is>
          <t>Ta puissance</t>
        </is>
      </c>
    </row>
    <row r="249">
      <c r="A249" s="6" t="inlineStr">
        <is>
          <t>挖到的聪</t>
        </is>
      </c>
      <c r="B249" s="8" t="inlineStr">
        <is>
          <t>挖到的聪</t>
        </is>
      </c>
      <c r="C249" s="8" t="inlineStr">
        <is>
          <t>Sats mined</t>
        </is>
      </c>
      <c r="D249" s="8" t="inlineStr">
        <is>
          <t>Sats minés</t>
        </is>
      </c>
    </row>
    <row r="250">
      <c r="A250" s="6" t="inlineStr">
        <is>
          <t>全网算力</t>
        </is>
      </c>
      <c r="B250" s="8" t="inlineStr">
        <is>
          <t>全网算力</t>
        </is>
      </c>
      <c r="C250" s="8" t="inlineStr">
        <is>
          <t>Network hash</t>
        </is>
      </c>
      <c r="D250" s="8" t="inlineStr">
        <is>
          <t>Puissance réseau</t>
        </is>
      </c>
    </row>
    <row r="251">
      <c r="A251" s="6" t="inlineStr">
        <is>
          <t>已挖到</t>
        </is>
      </c>
      <c r="B251" s="8" t="inlineStr">
        <is>
          <t>已挖到</t>
        </is>
      </c>
      <c r="C251" s="8" t="inlineStr">
        <is>
          <t>Won</t>
        </is>
      </c>
      <c r="D251" s="8" t="inlineStr">
        <is>
          <t>Gagnés</t>
        </is>
      </c>
    </row>
    <row r="252">
      <c r="A252" s="6" t="inlineStr">
        <is>
          <t>下个区块</t>
        </is>
      </c>
      <c r="B252" s="8" t="inlineStr">
        <is>
          <t>下个区块</t>
        </is>
      </c>
      <c r="C252" s="8" t="inlineStr">
        <is>
          <t>Next block</t>
        </is>
      </c>
      <c r="D252" s="8" t="inlineStr">
        <is>
          <t>Prochain bloc</t>
        </is>
      </c>
    </row>
    <row r="253">
      <c r="A253" s="6" t="inlineStr">
        <is>
          <t>剩余生命</t>
        </is>
      </c>
      <c r="B253" s="8" t="inlineStr">
        <is>
          <t>剩余生命</t>
        </is>
      </c>
      <c r="C253" s="8" t="inlineStr">
        <is>
          <t>Lives left</t>
        </is>
      </c>
      <c r="D253" s="8" t="inlineStr">
        <is>
          <t>Vies restantes</t>
        </is>
      </c>
    </row>
    <row r="254">
      <c r="A254" s="6" t="inlineStr">
        <is>
          <t>快捷键 Q / W / E 升级，X 回收</t>
        </is>
      </c>
      <c r="B254" s="8" t="inlineStr">
        <is>
          <t>快捷键 Q / W / E 升级，X 回收</t>
        </is>
      </c>
      <c r="C254" s="8" t="inlineStr">
        <is>
          <t>Keys Q / W / E upgrade, X recycles</t>
        </is>
      </c>
      <c r="D254" s="8" t="inlineStr">
        <is>
          <t>Touches Q / W / E améliorer, X recycler</t>
        </is>
      </c>
    </row>
    <row r="255">
      <c r="A255" s="6" t="inlineStr">
        <is>
          <t>整数溢出！</t>
        </is>
      </c>
      <c r="B255" s="8" t="inlineStr">
        <is>
          <t>整数溢出！</t>
        </is>
      </c>
      <c r="C255" s="8" t="inlineStr">
        <is>
          <t>Integer overflow!</t>
        </is>
      </c>
      <c r="D255" s="8" t="inlineStr">
        <is>
          <t>Dépassement d’entier !</t>
        </is>
      </c>
    </row>
    <row r="256">
      <c r="A256" s="6" t="inlineStr">
        <is>
          <t>第一章</t>
        </is>
      </c>
      <c r="B256" s="8" t="inlineStr">
        <is>
          <t>第一章</t>
        </is>
      </c>
      <c r="C256" s="8" t="inlineStr">
        <is>
          <t>Chapter 1</t>
        </is>
      </c>
      <c r="D256" s="8" t="inlineStr">
        <is>
          <t>Chapitre 1</t>
        </is>
      </c>
    </row>
    <row r="257">
      <c r="A257" s="6" t="inlineStr">
        <is>
          <t>通关「{x}」解锁</t>
        </is>
      </c>
      <c r="B257" s="8" t="inlineStr">
        <is>
          <t>通关「{x}」解锁</t>
        </is>
      </c>
      <c r="C257" s="8" t="inlineStr">
        <is>
          <t>Clear “{x}” to unlock</t>
        </is>
      </c>
      <c r="D257" s="8" t="inlineStr">
        <is>
          <t>Termine « {x} » pour débloquer</t>
        </is>
      </c>
    </row>
    <row r="258">
      <c r="A258" s="6" t="inlineStr">
        <is>
          <t>挂上：{x}</t>
        </is>
      </c>
      <c r="B258" s="8" t="inlineStr">
        <is>
          <t>挂上：{x}</t>
        </is>
      </c>
      <c r="C258" s="8" t="inlineStr">
        <is>
          <t>Applies: {x}</t>
        </is>
      </c>
      <c r="D258" s="8" t="inlineStr">
        <is>
          <t>Applique : {x}</t>
        </is>
      </c>
    </row>
    <row r="259">
      <c r="A259" s="6" t="inlineStr">
        <is>
          <t>难度调整：全网算力 +{n}%</t>
        </is>
      </c>
      <c r="B259" s="8" t="inlineStr">
        <is>
          <t>难度调整：全网算力 +{n}%</t>
        </is>
      </c>
      <c r="C259" s="8" t="inlineStr">
        <is>
          <t>Difficulty adjustment: network hash +{n}%</t>
        </is>
      </c>
      <c r="D259" s="8" t="inlineStr">
        <is>
          <t>Ajustement de difficulté : puissance réseau +{n} %</t>
        </is>
      </c>
    </row>
    <row r="260">
      <c r="A260" s="6" t="inlineStr">
        <is>
          <t>新知识卡</t>
        </is>
      </c>
      <c r="B260" s="8" t="inlineStr">
        <is>
          <t>新知识卡</t>
        </is>
      </c>
      <c r="C260" s="8" t="inlineStr">
        <is>
          <t>New knowledge card</t>
        </is>
      </c>
      <c r="D260" s="8" t="inlineStr">
        <is>
          <t>Nouvelle carte savoir</t>
        </is>
      </c>
    </row>
    <row r="261">
      <c r="A261" s="6" t="inlineStr">
        <is>
          <t>⛏ 挖矿</t>
        </is>
      </c>
      <c r="B261" s="8" t="inlineStr">
        <is>
          <t>⛏ 挖矿</t>
        </is>
      </c>
      <c r="C261" s="8" t="inlineStr">
        <is>
          <t>⛏ Mining</t>
        </is>
      </c>
      <c r="D261" s="8" t="inlineStr">
        <is>
          <t>⛏ Minage</t>
        </is>
      </c>
    </row>
    <row r="262">
      <c r="A262" s="6" t="inlineStr">
        <is>
          <t>获得积分</t>
        </is>
      </c>
      <c r="B262" s="8" t="inlineStr">
        <is>
          <t>获得积分</t>
        </is>
      </c>
      <c r="C262" s="8" t="inlineStr">
        <is>
          <t>Points earned</t>
        </is>
      </c>
      <c r="D262" s="8" t="inlineStr">
        <is>
          <t>Points gagnés</t>
        </is>
      </c>
    </row>
    <row r="263">
      <c r="A263" s="6" t="inlineStr">
        <is>
          <t>再点一次离开（本局进度不保存）</t>
        </is>
      </c>
      <c r="B263" s="8" t="inlineStr">
        <is>
          <t>再点一次离开（本局进度不保存）</t>
        </is>
      </c>
      <c r="C263" s="8" t="inlineStr">
        <is>
          <t>Tap again to leave (this run is not saved)</t>
        </is>
      </c>
      <c r="D263" s="8" t="inlineStr">
        <is>
          <t>Touche encore pour quitter (partie non sauvegardée)</t>
        </is>
      </c>
    </row>
    <row r="264">
      <c r="A264" s="6" t="inlineStr">
        <is>
          <t>皮厚</t>
        </is>
      </c>
      <c r="B264" s="8" t="inlineStr">
        <is>
          <t>皮厚</t>
        </is>
      </c>
      <c r="C264" s="8" t="inlineStr">
        <is>
          <t>Tough</t>
        </is>
      </c>
      <c r="D264" s="8" t="inlineStr">
        <is>
          <t>Coriace</t>
        </is>
      </c>
    </row>
    <row r="265">
      <c r="A265" s="6" t="inlineStr">
        <is>
          <t>防水</t>
        </is>
      </c>
      <c r="B265" s="8" t="inlineStr">
        <is>
          <t>防水</t>
        </is>
      </c>
      <c r="C265" s="8" t="inlineStr">
        <is>
          <t>Waterproof</t>
        </is>
      </c>
      <c r="D265" s="8" t="inlineStr">
        <is>
          <t>Imperméable</t>
        </is>
      </c>
    </row>
    <row r="266">
      <c r="A266" s="6" t="inlineStr">
        <is>
          <t>跳过！</t>
        </is>
      </c>
      <c r="B266" s="8" t="inlineStr">
        <is>
          <t>跳过！</t>
        </is>
      </c>
      <c r="C266" s="8" t="inlineStr">
        <is>
          <t>Hop!</t>
        </is>
      </c>
      <c r="D266" s="8" t="inlineStr">
        <is>
          <t>Hop !</t>
        </is>
      </c>
    </row>
    <row r="267">
      <c r="A267" s="6" t="inlineStr">
        <is>
          <t>跑者</t>
        </is>
      </c>
      <c r="B267" s="8" t="inlineStr">
        <is>
          <t>跑者</t>
        </is>
      </c>
      <c r="C267" s="8" t="inlineStr">
        <is>
          <t>Runners</t>
        </is>
      </c>
      <c r="D267" s="8" t="inlineStr">
        <is>
          <t>Coureurs</t>
        </is>
      </c>
    </row>
    <row r="268">
      <c r="A268" s="6" t="inlineStr">
        <is>
          <t>对策</t>
        </is>
      </c>
      <c r="B268" s="8" t="inlineStr">
        <is>
          <t>对策</t>
        </is>
      </c>
      <c r="C268" s="8" t="inlineStr">
        <is>
          <t>Counter</t>
        </is>
      </c>
      <c r="D268" s="8" t="inlineStr">
        <is>
          <t>Parade</t>
        </is>
      </c>
    </row>
    <row r="269">
      <c r="A269" s="6" t="inlineStr">
        <is>
          <t>还没遇到过。</t>
        </is>
      </c>
      <c r="B269" s="8" t="inlineStr">
        <is>
          <t>还没遇到过。</t>
        </is>
      </c>
      <c r="C269" s="8" t="inlineStr">
        <is>
          <t>Not met yet.</t>
        </is>
      </c>
      <c r="D269" s="8" t="inlineStr">
        <is>
          <t>Pas encore croisé.</t>
        </is>
      </c>
    </row>
    <row r="270">
      <c r="A270" s="6" t="inlineStr">
        <is>
          <t>新跑者</t>
        </is>
      </c>
      <c r="B270" s="8" t="inlineStr">
        <is>
          <t>新跑者</t>
        </is>
      </c>
      <c r="C270" s="8" t="inlineStr">
        <is>
          <t>New runner</t>
        </is>
      </c>
      <c r="D270" s="8" t="inlineStr">
        <is>
          <t>Nouveau coureur</t>
        </is>
      </c>
    </row>
    <row r="271">
      <c r="A271" s="6" t="inlineStr">
        <is>
          <t>对{x}无效</t>
        </is>
      </c>
      <c r="B271" s="8" t="inlineStr">
        <is>
          <t>对{x}无效</t>
        </is>
      </c>
      <c r="C271" s="8" t="inlineStr">
        <is>
          <t>No effect on {x}</t>
        </is>
      </c>
      <c r="D271" s="8" t="inlineStr">
        <is>
          <t>Sans effet sur {x}</t>
        </is>
      </c>
    </row>
    <row r="272">
      <c r="A272" s="6" t="inlineStr">
        <is>
          <t>连撞 ×{n}</t>
        </is>
      </c>
      <c r="B272" s="8" t="inlineStr">
        <is>
          <t>连撞 ×{n}</t>
        </is>
      </c>
      <c r="C272" s="8" t="inlineStr">
        <is>
          <t>Crash ×{n}</t>
        </is>
      </c>
      <c r="D272" s="8" t="inlineStr">
        <is>
          <t>Collision ×{n}</t>
        </is>
      </c>
    </row>
    <row r="273">
      <c r="A273" s="6" t="inlineStr">
        <is>
          <t>整道铺皮！</t>
        </is>
      </c>
      <c r="B273" s="8" t="inlineStr">
        <is>
          <t>整道铺皮！</t>
        </is>
      </c>
      <c r="C273" s="8" t="inlineStr">
        <is>
          <t>Paved with peels!</t>
        </is>
      </c>
      <c r="D273" s="8" t="inlineStr">
        <is>
          <t>Piste couverte !</t>
        </is>
      </c>
    </row>
    <row r="274">
      <c r="A274" s="6" t="inlineStr">
        <is>
          <t>后勤补给！</t>
        </is>
      </c>
      <c r="B274" s="8" t="inlineStr">
        <is>
          <t>后勤补给！</t>
        </is>
      </c>
      <c r="C274" s="8" t="inlineStr">
        <is>
          <t>Supplies in!</t>
        </is>
      </c>
      <c r="D274" s="8" t="inlineStr">
        <is>
          <t>Ravitaillement !</t>
        </is>
      </c>
    </row>
    <row r="275">
      <c r="A275" s="6" t="inlineStr">
        <is>
          <t>重低音 ×{n}</t>
        </is>
      </c>
      <c r="B275" s="8" t="inlineStr">
        <is>
          <t>重低音 ×{n}</t>
        </is>
      </c>
      <c r="C275" s="8" t="inlineStr">
        <is>
          <t>Bass drop ×{n}</t>
        </is>
      </c>
      <c r="D275" s="8" t="inlineStr">
        <is>
          <t>Basse ×{n}</t>
        </is>
      </c>
    </row>
    <row r="276">
      <c r="A276" s="6" t="inlineStr">
        <is>
          <t>限量发售！</t>
        </is>
      </c>
      <c r="B276" s="8" t="inlineStr">
        <is>
          <t>限量发售！</t>
        </is>
      </c>
      <c r="C276" s="8" t="inlineStr">
        <is>
          <t>Launch event!</t>
        </is>
      </c>
      <c r="D276" s="8" t="inlineStr">
        <is>
          <t>Lancement !</t>
        </is>
      </c>
    </row>
    <row r="277">
      <c r="A277" s="6" t="inlineStr">
        <is>
          <t>投递区已设定</t>
        </is>
      </c>
      <c r="B277" s="8" t="inlineStr">
        <is>
          <t>投递区已设定</t>
        </is>
      </c>
      <c r="C277" s="8" t="inlineStr">
        <is>
          <t>Drop zone set</t>
        </is>
      </c>
      <c r="D277" s="8" t="inlineStr">
        <is>
          <t>Zone de largage fixée</t>
        </is>
      </c>
    </row>
    <row r="278">
      <c r="A278" s="6" t="inlineStr">
        <is>
          <t>布阵路段已设定</t>
        </is>
      </c>
      <c r="B278" s="8" t="inlineStr">
        <is>
          <t>布阵路段已设定</t>
        </is>
      </c>
      <c r="C278" s="8" t="inlineStr">
        <is>
          <t>Trap stretch set</t>
        </is>
      </c>
      <c r="D278" s="8" t="inlineStr">
        <is>
          <t>Tronçon piégé fixé</t>
        </is>
      </c>
    </row>
    <row r="279">
      <c r="A279" s="6" t="inlineStr">
        <is>
          <t>副路线最多 2 级</t>
        </is>
      </c>
      <c r="B279" s="8" t="inlineStr">
        <is>
          <t>副路线最多 2 级</t>
        </is>
      </c>
      <c r="C279" s="8" t="inlineStr">
        <is>
          <t>Secondary path max tier 2</t>
        </is>
      </c>
      <c r="D279" s="8" t="inlineStr">
        <is>
          <t>Voie secondaire : niveau 2 max</t>
        </is>
      </c>
    </row>
    <row r="280">
      <c r="A280" s="6" t="inlineStr">
        <is>
          <t>6 级专精 −30%</t>
        </is>
      </c>
      <c r="B280" s="8" t="inlineStr">
        <is>
          <t>6 级专精 −30%</t>
        </is>
      </c>
      <c r="C280" s="8" t="inlineStr">
        <is>
          <t>Tier-6 specialisation −30%</t>
        </is>
      </c>
      <c r="D280" s="8" t="inlineStr">
        <is>
          <t>Spécialisation niv. 6 −30 %</t>
        </is>
      </c>
    </row>
    <row r="281">
      <c r="A281" s="6" t="inlineStr">
        <is>
          <t>副</t>
        </is>
      </c>
      <c r="B281" s="8" t="inlineStr">
        <is>
          <t>副</t>
        </is>
      </c>
      <c r="C281" s="8" t="inlineStr">
        <is>
          <t>2nd</t>
        </is>
      </c>
      <c r="D281" s="8" t="inlineStr">
        <is>
          <t>2e</t>
        </is>
      </c>
    </row>
    <row r="282">
      <c r="A282" s="6" t="inlineStr">
        <is>
          <t>副路线</t>
        </is>
      </c>
      <c r="B282" s="8" t="inlineStr">
        <is>
          <t>副路线</t>
        </is>
      </c>
      <c r="C282" s="8" t="inlineStr">
        <is>
          <t>Secondary</t>
        </is>
      </c>
      <c r="D282" s="8" t="inlineStr">
        <is>
          <t>Secondaire</t>
        </is>
      </c>
    </row>
    <row r="283">
      <c r="A283" s="6" t="inlineStr">
        <is>
          <t>6 级会移除副路线，已花的 {n} GST 抵扣</t>
        </is>
      </c>
      <c r="B283" s="8" t="inlineStr">
        <is>
          <t>6 级会移除副路线，已花的 {n} GST 抵扣</t>
        </is>
      </c>
      <c r="C283" s="8" t="inlineStr">
        <is>
          <t>Tier 6 removes the secondary path; the {n} GST spent on it is credited</t>
        </is>
      </c>
      <c r="D283" s="8" t="inlineStr">
        <is>
          <t>Le niveau 6 retire la voie secondaire ; les {n} GST dépensés sont déduits</t>
        </is>
      </c>
    </row>
    <row r="284">
      <c r="A284" s="6" t="inlineStr">
        <is>
          <t>点地图上的跑道…</t>
        </is>
      </c>
      <c r="B284" s="8" t="inlineStr">
        <is>
          <t>点地图上的跑道…</t>
        </is>
      </c>
      <c r="C284" s="8" t="inlineStr">
        <is>
          <t>Tap the track…</t>
        </is>
      </c>
      <c r="D284" s="8" t="inlineStr">
        <is>
          <t>Touche la piste…</t>
        </is>
      </c>
    </row>
    <row r="285">
      <c r="A285" s="6" t="inlineStr">
        <is>
          <t>🎯 设定投递区</t>
        </is>
      </c>
      <c r="B285" s="8" t="inlineStr">
        <is>
          <t>🎯 设定投递区</t>
        </is>
      </c>
      <c r="C285" s="8" t="inlineStr">
        <is>
          <t>🎯 Set drop zone</t>
        </is>
      </c>
      <c r="D285" s="8" t="inlineStr">
        <is>
          <t>🎯 Zone de largage</t>
        </is>
      </c>
    </row>
    <row r="286">
      <c r="A286" s="6" t="inlineStr">
        <is>
          <t>🎯 设定布阵路段</t>
        </is>
      </c>
      <c r="B286" s="8" t="inlineStr">
        <is>
          <t>🎯 设定布阵路段</t>
        </is>
      </c>
      <c r="C286" s="8" t="inlineStr">
        <is>
          <t>🎯 Set trap stretch</t>
        </is>
      </c>
      <c r="D286" s="8" t="inlineStr">
        <is>
          <t>🎯 Tronçon à piéger</t>
        </is>
      </c>
    </row>
    <row r="287">
      <c r="A287" s="6" t="inlineStr">
        <is>
          <t>两条路线可各升到 2 级；先到 3 级的是主路线，最高 5 级；6 级专精会移除副路线</t>
        </is>
      </c>
      <c r="B287" s="8" t="inlineStr">
        <is>
          <t>两条路线可各升到 2 级；先到 3 级的是主路线，最高 5 级；6 级专精会移除副路线</t>
        </is>
      </c>
      <c r="C287" s="8" t="inlineStr">
        <is>
          <t>Two paths can each reach tier 2; the first to tier 3 becomes main (up to 5); tier 6 specialisation removes the secondary</t>
        </is>
      </c>
      <c r="D287" s="8" t="inlineStr">
        <is>
          <t>Deux voies peuvent atteindre le niveau 2 ; la première au niveau 3 devient principale (jusqu’à 5) ; la spécialisation niv. 6 retire la secondaire</t>
        </is>
      </c>
    </row>
    <row r="288">
      <c r="A288" s="6" t="inlineStr">
        <is>
          <t>{x} 专精！</t>
        </is>
      </c>
      <c r="B288" s="8" t="inlineStr">
        <is>
          <t>{x} 专精！</t>
        </is>
      </c>
      <c r="C288" s="8" t="inlineStr">
        <is>
          <t>{x} specialisation!</t>
        </is>
      </c>
      <c r="D288" s="8" t="inlineStr">
        <is>
          <t>Spécialisation : {x} !</t>
        </is>
      </c>
    </row>
    <row r="289">
      <c r="A289" s="6" t="inlineStr">
        <is>
          <t>场上上限</t>
        </is>
      </c>
      <c r="B289" s="8" t="inlineStr">
        <is>
          <t>场上上限</t>
        </is>
      </c>
      <c r="C289" s="8" t="inlineStr">
        <is>
          <t>Max on track</t>
        </is>
      </c>
      <c r="D289" s="8" t="inlineStr">
        <is>
          <t>Max sur piste</t>
        </is>
      </c>
    </row>
    <row r="290">
      <c r="A290" s="6" t="inlineStr">
        <is>
          <t>每次箱数</t>
        </is>
      </c>
      <c r="B290" s="8" t="inlineStr">
        <is>
          <t>每次箱数</t>
        </is>
      </c>
      <c r="C290" s="8" t="inlineStr">
        <is>
          <t>Boxes per run</t>
        </is>
      </c>
      <c r="D290" s="8" t="inlineStr">
        <is>
          <t>Boîtes par sortie</t>
        </is>
      </c>
    </row>
    <row r="291">
      <c r="A291" s="6" t="inlineStr">
        <is>
          <t>每次招呼</t>
        </is>
      </c>
      <c r="B291" s="8" t="inlineStr">
        <is>
          <t>每次招呼</t>
        </is>
      </c>
      <c r="C291" s="8" t="inlineStr">
        <is>
          <t>Per invite</t>
        </is>
      </c>
      <c r="D291" s="8" t="inlineStr">
        <is>
          <t>Par invitation</t>
        </is>
      </c>
    </row>
    <row r="292">
      <c r="A292" s="6" t="inlineStr">
        <is>
          <t>停留</t>
        </is>
      </c>
      <c r="B292" s="8" t="inlineStr">
        <is>
          <t>停留</t>
        </is>
      </c>
      <c r="C292" s="8" t="inlineStr">
        <is>
          <t>Stay</t>
        </is>
      </c>
      <c r="D292" s="8" t="inlineStr">
        <is>
          <t>Arrêt</t>
        </is>
      </c>
    </row>
    <row r="293">
      <c r="A293" s="6" t="inlineStr">
        <is>
          <t>{x} 的动画 JSON 读不出来</t>
        </is>
      </c>
      <c r="B293" s="8" t="inlineStr">
        <is>
          <t>{x} 的动画 JSON 读不出来</t>
        </is>
      </c>
      <c r="C293" s="8" t="inlineStr">
        <is>
          <t>Could not read the animation JSON for {x}</t>
        </is>
      </c>
      <c r="D293" s="8" t="inlineStr">
        <is>
          <t>Impossible de lire le JSON d’animation de {x}</t>
        </is>
      </c>
    </row>
    <row r="294">
      <c r="A294" s="6" t="inlineStr">
        <is>
          <t>弹道 {x} {k}</t>
        </is>
      </c>
      <c r="B294" s="8" t="inlineStr">
        <is>
          <t>弹道 {x} {k}</t>
        </is>
      </c>
      <c r="C294" s="8" t="inlineStr">
        <is>
          <t>Trajectory {x} {k}</t>
        </is>
      </c>
      <c r="D294" s="8" t="inlineStr">
        <is>
          <t>Trajectoire {x} {k}</t>
        </is>
      </c>
    </row>
    <row r="295">
      <c r="A295" s="6" t="inlineStr">
        <is>
          <t>装置 {x}：基础附加效果「{y}」写法有误，保留原效果</t>
        </is>
      </c>
      <c r="B295" s="8" t="inlineStr">
        <is>
          <t>装置 {x}：基础附加效果「{y}」写法有误，保留原效果</t>
        </is>
      </c>
      <c r="C295" s="8" t="inlineStr">
        <is>
          <t>Device {x}: base extra effect “{y}” is malformed, kept the original</t>
        </is>
      </c>
      <c r="D295" s="8" t="inlineStr">
        <is>
          <t>Dispositif {x} : effet de base « {y} » mal écrit, original conservé</t>
        </is>
      </c>
    </row>
    <row r="296">
      <c r="A296" s="6" t="inlineStr">
        <is>
          <t>导入美术图片 / 动画（可多选）</t>
        </is>
      </c>
      <c r="B296" s="8" t="inlineStr">
        <is>
          <t>导入美术图片 / 动画（可多选）</t>
        </is>
      </c>
      <c r="C296" s="8" t="inlineStr">
        <is>
          <t>Import art / animations (multi-select)</t>
        </is>
      </c>
      <c r="D296" s="8" t="inlineStr">
        <is>
          <t>Importer images / animations (plusieurs)</t>
        </is>
      </c>
    </row>
    <row r="297">
      <c r="A297" s="6" t="inlineStr">
        <is>
          <t>点跑道，设定投递区（Esc 取消）</t>
        </is>
      </c>
      <c r="B297" s="8" t="inlineStr">
        <is>
          <t>点跑道，设定投递区（Esc 取消）</t>
        </is>
      </c>
      <c r="C297" s="8" t="inlineStr">
        <is>
          <t>Tap the track to set the drop zone (Esc to cancel)</t>
        </is>
      </c>
      <c r="D297" s="8" t="inlineStr">
        <is>
          <t>Touche la piste pour choisir la zone de largage (Échap pour annuler)</t>
        </is>
      </c>
    </row>
    <row r="298">
      <c r="A298" s="6" t="inlineStr">
        <is>
          <t>点跑道，设定布阵路段（Esc 取消）</t>
        </is>
      </c>
      <c r="B298" s="8" t="inlineStr">
        <is>
          <t>点跑道，设定布阵路段（Esc 取消）</t>
        </is>
      </c>
      <c r="C298" s="8" t="inlineStr">
        <is>
          <t>Tap the track to set the trap stretch (Esc to cancel)</t>
        </is>
      </c>
      <c r="D298" s="8" t="inlineStr">
        <is>
          <t>Touche la piste pour choisir le tronçon à piéger (Échap pour annuler)</t>
        </is>
      </c>
    </row>
    <row r="299">
      <c r="A299" s="6" t="inlineStr">
        <is>
          <t>放不下</t>
        </is>
      </c>
      <c r="B299" s="8" t="inlineStr">
        <is>
          <t>放不下</t>
        </is>
      </c>
      <c r="C299" s="8" t="inlineStr">
        <is>
          <t>No room</t>
        </is>
      </c>
      <c r="D299" s="8" t="inlineStr">
        <is>
          <t>Pas de place</t>
        </is>
      </c>
    </row>
    <row r="300">
      <c r="A300" s="6" t="inlineStr">
        <is>
          <t>再点一次重新开始</t>
        </is>
      </c>
      <c r="B300" s="8" t="inlineStr">
        <is>
          <t>再点一次重新开始</t>
        </is>
      </c>
      <c r="C300" s="8" t="inlineStr">
        <is>
          <t>Tap again to restart</t>
        </is>
      </c>
      <c r="D300" s="8" t="inlineStr">
        <is>
          <t>Touche encore pour recommencer</t>
        </is>
      </c>
    </row>
    <row r="301">
      <c r="A301" s="6" t="inlineStr">
        <is>
          <t>重开本关</t>
        </is>
      </c>
      <c r="B301" s="8" t="inlineStr">
        <is>
          <t>重开本关</t>
        </is>
      </c>
      <c r="C301" s="8" t="inlineStr">
        <is>
          <t>Restart level</t>
        </is>
      </c>
      <c r="D301" s="8" t="inlineStr">
        <is>
          <t>Rejouer le niveau</t>
        </is>
      </c>
    </row>
    <row r="302">
      <c r="A302" s="6" t="inlineStr">
        <is>
          <t>重新开始</t>
        </is>
      </c>
      <c r="B302" s="8" t="inlineStr">
        <is>
          <t>重新开始</t>
        </is>
      </c>
      <c r="C302" s="8" t="inlineStr">
        <is>
          <t>Restart</t>
        </is>
      </c>
      <c r="D302" s="8" t="inlineStr">
        <is>
          <t>Recommencer</t>
        </is>
      </c>
    </row>
    <row r="303">
      <c r="A303" s="6" t="inlineStr">
        <is>
          <t>↻ 重新开始</t>
        </is>
      </c>
      <c r="B303" s="8" t="inlineStr">
        <is>
          <t>↻ 重新开始</t>
        </is>
      </c>
      <c r="C303" s="8" t="inlineStr">
        <is>
          <t>↻ Restart</t>
        </is>
      </c>
      <c r="D303" s="8" t="inlineStr">
        <is>
          <t>↻ Recommencer</t>
        </is>
      </c>
    </row>
    <row r="304">
      <c r="A304" s="6" t="inlineStr">
        <is>
          <t>点跑道外任意空地放置装置（每种装置占的格子不同），再点已放的装置升级。每个装置最多发展两条路线：都能先升到 2 级，先到 3 级的成为主路线，可升到 5 级；6 级专精会移除副路线，已花的钱抵扣。</t>
        </is>
      </c>
      <c r="B304" s="8" t="inlineStr">
        <is>
          <t>点跑道外任意空地放置装置（每种装置占的格子不同），再点已放的装置升级。每个装置最多发展两条路线：都能先升到 2 级，先到 3 级的成为主路线，可升到 5 级；6 级专精会移除副路线，已花的钱抵扣。</t>
        </is>
      </c>
      <c r="C304" s="8" t="inlineStr">
        <is>
          <t>Tap any free ground off the track to place a device (each device takes a different number of cells), then tap it to upgrade. Each device can grow two paths: both can reach tier 2, the first to tier 3 becomes main and goes up to 5; tier 6 specialisation removes the secondary path and credits what you spent on it.</t>
        </is>
      </c>
      <c r="D304" s="8" t="inlineStr">
        <is>
          <t>Touche n’importe quel terrain libre hors de la piste pour poser un dispositif (chacun occupe un nombre de cases différent), puis touche-le pour l’améliorer. Deux voies maximum : les deux peuvent atteindre le niveau 2, la première au niveau 3 devient principale jusqu’au 5 ; la spécialisation niv. 6 retire la secondaire et déduit ce que tu y as dépensé.</t>
        </is>
      </c>
    </row>
    <row r="305">
      <c r="A305" s="6" t="inlineStr">
        <is>
          <t>点跑道外的空地放置装置，再点装置直接升级。</t>
        </is>
      </c>
      <c r="B305" s="8" t="inlineStr">
        <is>
          <t>点跑道外的空地放置装置，再点装置直接升级。</t>
        </is>
      </c>
      <c r="C305" s="8" t="inlineStr">
        <is>
          <t>Tap any free ground off the track to place a device, then tap the device to upgrade it.</t>
        </is>
      </c>
      <c r="D305" s="8" t="inlineStr">
        <is>
          <t>Touchez un terrain libre hors de la piste pour poser un dispositif, puis touchez-le pour l’améliorer.</t>
        </is>
      </c>
    </row>
    <row r="306">
      <c r="A306" s="6" t="inlineStr">
        <is>
          <t>点跑道外的空地放置装置，再点「开始第 1 波」</t>
        </is>
      </c>
      <c r="B306" s="8" t="inlineStr">
        <is>
          <t>点跑道外的空地放置装置，再点「开始第 1 波」</t>
        </is>
      </c>
      <c r="C306" s="8" t="inlineStr">
        <is>
          <t>Tap free ground off the track to place a device, then press “Start wave 1”</t>
        </is>
      </c>
      <c r="D306" s="8" t="inlineStr">
        <is>
          <t>Touchez un terrain libre hors de la piste pour poser un dispositif, puis « Lancer la vague 1 »</t>
        </is>
      </c>
    </row>
    <row r="308">
      <c r="A308" s="10" t="inlineStr">
        <is>
          <t>※ 花括号里的 {n}、{x} 等是占位符，翻译时要原样保留。</t>
        </is>
      </c>
    </row>
  </sheetData>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B54"/>
  <sheetViews>
    <sheetView workbookViewId="0">
      <pane ySplit="2" topLeftCell="A3" activePane="bottomLeft" state="frozen"/>
      <selection pane="bottomLeft" activeCell="A1" sqref="A1"/>
    </sheetView>
  </sheetViews>
  <sheetFormatPr baseColWidth="8" defaultRowHeight="15"/>
  <cols>
    <col width="16" customWidth="1" min="1" max="1"/>
    <col width="70" customWidth="1" min="2" max="2"/>
  </cols>
  <sheetData>
    <row r="1" ht="30" customHeight="1">
      <c r="A1" s="4" t="inlineStr">
        <is>
          <t>写法 / 属性</t>
        </is>
      </c>
      <c r="B1" s="4" t="inlineStr">
        <is>
          <t>说明</t>
        </is>
      </c>
    </row>
    <row r="2">
      <c r="A2" s="5" t="inlineStr"/>
      <c r="B2" s="5" t="inlineStr"/>
    </row>
    <row r="3">
      <c r="A3" s="6" t="inlineStr">
        <is>
          <t>写法</t>
        </is>
      </c>
      <c r="B3" s="8" t="inlineStr">
        <is>
          <t>多个效果用分号隔开，例如：dmg+=2; armor=1</t>
        </is>
      </c>
    </row>
    <row r="4">
      <c r="A4" s="6" t="inlineStr">
        <is>
          <t>+=</t>
        </is>
      </c>
      <c r="B4" s="8" t="inlineStr">
        <is>
          <t>增加：dmg+=1</t>
        </is>
      </c>
    </row>
    <row r="5">
      <c r="A5" s="6" t="inlineStr">
        <is>
          <t>*=</t>
        </is>
      </c>
      <c r="B5" s="8" t="inlineStr">
        <is>
          <t>乘以：rate*=0.8（出手间隔 ×0.8，即变快 20%）</t>
        </is>
      </c>
    </row>
    <row r="6">
      <c r="A6" s="6" t="inlineStr">
        <is>
          <t>=</t>
        </is>
      </c>
      <c r="B6" s="8" t="inlineStr">
        <is>
          <t>设为：stun=0.6</t>
        </is>
      </c>
    </row>
    <row r="7">
      <c r="A7" s="6" t="inlineStr">
        <is>
          <t>&gt;=</t>
        </is>
      </c>
      <c r="B7" s="8" t="inlineStr">
        <is>
          <t>至少为：armor&gt;=0.6</t>
        </is>
      </c>
    </row>
    <row r="8">
      <c r="A8" s="6" t="inlineStr"/>
      <c r="B8" s="8" t="inlineStr"/>
    </row>
    <row r="9">
      <c r="A9" s="6" t="inlineStr">
        <is>
          <t>属性</t>
        </is>
      </c>
      <c r="B9" s="8" t="inlineStr">
        <is>
          <t>含义</t>
        </is>
      </c>
    </row>
    <row r="10">
      <c r="A10" s="6" t="inlineStr">
        <is>
          <t>dmg</t>
        </is>
      </c>
      <c r="B10" s="8" t="inlineStr">
        <is>
          <t>效果（伤害）</t>
        </is>
      </c>
    </row>
    <row r="11">
      <c r="A11" s="6" t="inlineStr">
        <is>
          <t>rate</t>
        </is>
      </c>
      <c r="B11" s="8" t="inlineStr">
        <is>
          <t>出手间隔（秒，越小越快）</t>
        </is>
      </c>
    </row>
    <row r="12">
      <c r="A12" s="6" t="inlineStr">
        <is>
          <t>range</t>
        </is>
      </c>
      <c r="B12" s="8" t="inlineStr">
        <is>
          <t>射程</t>
        </is>
      </c>
    </row>
    <row r="13">
      <c r="A13" s="6" t="inlineStr">
        <is>
          <t>rad</t>
        </is>
      </c>
      <c r="B13" s="8" t="inlineStr">
        <is>
          <t>香蕉皮范围半径</t>
        </is>
      </c>
    </row>
    <row r="14">
      <c r="A14" s="6" t="inlineStr">
        <is>
          <t>slow</t>
        </is>
      </c>
      <c r="B14" s="8" t="inlineStr">
        <is>
          <t>减速比例</t>
        </is>
      </c>
    </row>
    <row r="15">
      <c r="A15" s="6" t="inlineStr">
        <is>
          <t>slowDur</t>
        </is>
      </c>
      <c r="B15" s="8" t="inlineStr">
        <is>
          <t>湿滑持续（秒）</t>
        </is>
      </c>
    </row>
    <row r="16">
      <c r="A16" s="6" t="inlineStr">
        <is>
          <t>chain</t>
        </is>
      </c>
      <c r="B16" s="8" t="inlineStr">
        <is>
          <t>音响传播人数</t>
        </is>
      </c>
    </row>
    <row r="17">
      <c r="A17" s="6" t="inlineStr">
        <is>
          <t>decay</t>
        </is>
      </c>
      <c r="B17" s="8" t="inlineStr">
        <is>
          <t>音响每传一人的效果保留比例</t>
        </is>
      </c>
    </row>
    <row r="18">
      <c r="A18" s="6" t="inlineStr">
        <is>
          <t>multi</t>
        </is>
      </c>
      <c r="B18" s="8" t="inlineStr">
        <is>
          <t>易拉罐每次砸几人</t>
        </is>
      </c>
    </row>
    <row r="19">
      <c r="A19" s="6" t="inlineStr">
        <is>
          <t>crit</t>
        </is>
      </c>
      <c r="B19" s="8" t="inlineStr">
        <is>
          <t>额外暴击率</t>
        </is>
      </c>
    </row>
    <row r="20">
      <c r="A20" s="6" t="inlineStr">
        <is>
          <t>critMul</t>
        </is>
      </c>
      <c r="B20" s="8" t="inlineStr">
        <is>
          <t>暴击倍率</t>
        </is>
      </c>
    </row>
    <row r="21">
      <c r="A21" s="6" t="inlineStr">
        <is>
          <t>armor</t>
        </is>
      </c>
      <c r="B21" s="8" t="inlineStr">
        <is>
          <t>对耐力跑者的效果比例</t>
        </is>
      </c>
    </row>
    <row r="22">
      <c r="A22" s="6" t="inlineStr">
        <is>
          <t>bossMul</t>
        </is>
      </c>
      <c r="B22" s="8" t="inlineStr">
        <is>
          <t>对 Boss 的效果倍率</t>
        </is>
      </c>
    </row>
    <row r="23">
      <c r="A23" s="6" t="inlineStr">
        <is>
          <t>starts</t>
        </is>
      </c>
      <c r="B23" s="8" t="inlineStr">
        <is>
          <t>音响同时放几首</t>
        </is>
      </c>
    </row>
    <row r="24">
      <c r="A24" s="6" t="inlineStr">
        <is>
          <t>shieldMul</t>
        </is>
      </c>
      <c r="B24" s="8" t="inlineStr">
        <is>
          <t>对能量盾的效果倍率</t>
        </is>
      </c>
    </row>
    <row r="25">
      <c r="A25" s="6" t="inlineStr">
        <is>
          <t>bombs</t>
        </is>
      </c>
      <c r="B25" s="8" t="inlineStr">
        <is>
          <t>一次扔几片香蕉皮</t>
        </is>
      </c>
    </row>
    <row r="26">
      <c r="A26" s="6" t="inlineStr">
        <is>
          <t>execChance</t>
        </is>
      </c>
      <c r="B26" s="8" t="inlineStr">
        <is>
          <t>命中直接绊倒退赛的概率（非 Boss）</t>
        </is>
      </c>
    </row>
    <row r="27">
      <c r="A27" s="6" t="inlineStr">
        <is>
          <t>mark</t>
        </is>
      </c>
      <c r="B27" s="8" t="inlineStr">
        <is>
          <t>汽水黏鞋持续秒数</t>
        </is>
      </c>
    </row>
    <row r="28">
      <c r="A28" s="6" t="inlineStr">
        <is>
          <t>auraRate</t>
        </is>
      </c>
      <c r="B28" s="8" t="inlineStr">
        <is>
          <t>光环：其他装置出手间隔倍率</t>
        </is>
      </c>
    </row>
    <row r="29">
      <c r="A29" s="6" t="inlineStr">
        <is>
          <t>auraR</t>
        </is>
      </c>
      <c r="B29" s="8" t="inlineStr">
        <is>
          <t>光环半径（不填则等于射程）</t>
        </is>
      </c>
    </row>
    <row r="30">
      <c r="A30" s="6" t="inlineStr">
        <is>
          <t>auraDmg</t>
        </is>
      </c>
      <c r="B30" s="8" t="inlineStr">
        <is>
          <t>光环：其他装置效果倍率</t>
        </is>
      </c>
    </row>
    <row r="31">
      <c r="A31" s="6" t="inlineStr">
        <is>
          <t>stun</t>
        </is>
      </c>
      <c r="B31" s="8" t="inlineStr">
        <is>
          <t>眩晕秒数</t>
        </is>
      </c>
    </row>
    <row r="32">
      <c r="A32" s="6" t="inlineStr">
        <is>
          <t>shrapnel</t>
        </is>
      </c>
      <c r="B32" s="8" t="inlineStr">
        <is>
          <t>香蕉碎片块数</t>
        </is>
      </c>
    </row>
    <row r="33">
      <c r="A33" s="6" t="inlineStr">
        <is>
          <t>cluster</t>
        </is>
      </c>
      <c r="B33" s="8" t="inlineStr">
        <is>
          <t>小香蕉分裂层数</t>
        </is>
      </c>
    </row>
    <row r="34">
      <c r="A34" s="6" t="inlineStr">
        <is>
          <t>burnDur</t>
        </is>
      </c>
      <c r="B34" s="8" t="inlineStr">
        <is>
          <t>辣椒持续秒数</t>
        </is>
      </c>
    </row>
    <row r="35">
      <c r="A35" s="6" t="inlineStr">
        <is>
          <t>burnPct</t>
        </is>
      </c>
      <c r="B35" s="8" t="inlineStr">
        <is>
          <t>辣椒每秒效果比例</t>
        </is>
      </c>
    </row>
    <row r="36">
      <c r="A36" s="6" t="inlineStr">
        <is>
          <t>firePatch</t>
        </is>
      </c>
      <c r="B36" s="8" t="inlineStr">
        <is>
          <t>辣油留存秒数</t>
        </is>
      </c>
    </row>
    <row r="37">
      <c r="A37" s="6" t="inlineStr">
        <is>
          <t>inferno</t>
        </is>
      </c>
      <c r="B37" s="8" t="inlineStr">
        <is>
          <t>1 = 辣到退赛时溅射</t>
        </is>
      </c>
    </row>
    <row r="38">
      <c r="A38" s="6" t="inlineStr">
        <is>
          <t>freeze</t>
        </is>
      </c>
      <c r="B38" s="8" t="inlineStr">
        <is>
          <t>冻结秒数</t>
        </is>
      </c>
    </row>
    <row r="39">
      <c r="A39" s="6" t="inlineStr">
        <is>
          <t>bossSlowFull</t>
        </is>
      </c>
      <c r="B39" s="8" t="inlineStr">
        <is>
          <t>1 = Boss 吃满减速</t>
        </is>
      </c>
    </row>
    <row r="40">
      <c r="A40" s="6" t="inlineStr">
        <is>
          <t>iceAge</t>
        </is>
      </c>
      <c r="B40" s="8" t="inlineStr">
        <is>
          <t>人工降雪间隔秒数</t>
        </is>
      </c>
    </row>
    <row r="41">
      <c r="A41" s="6" t="inlineStr">
        <is>
          <t>vulnSlow</t>
        </is>
      </c>
      <c r="B41" s="8" t="inlineStr">
        <is>
          <t>被淋湿后额外受到的效果比例</t>
        </is>
      </c>
    </row>
    <row r="42">
      <c r="A42" s="6" t="inlineStr">
        <is>
          <t>vulnFreeze</t>
        </is>
      </c>
      <c r="B42" s="8" t="inlineStr">
        <is>
          <t>被冻住后额外受到的效果比例</t>
        </is>
      </c>
    </row>
    <row r="43">
      <c r="A43" s="6" t="inlineStr">
        <is>
          <t>strip</t>
        </is>
      </c>
      <c r="B43" s="8" t="inlineStr">
        <is>
          <t>泡水鞋持续秒数</t>
        </is>
      </c>
    </row>
    <row r="44">
      <c r="A44" s="6" t="inlineStr">
        <is>
          <t>exec25</t>
        </is>
      </c>
      <c r="B44" s="8" t="inlineStr">
        <is>
          <t>1 = 体力低于 25% 直接退赛</t>
        </is>
      </c>
    </row>
    <row r="45">
      <c r="A45" s="6" t="inlineStr">
        <is>
          <t>decap</t>
        </is>
      </c>
      <c r="B45" s="8" t="inlineStr">
        <is>
          <t>1 = 开启神秘箱轰炸</t>
        </is>
      </c>
    </row>
    <row r="46">
      <c r="A46" s="6" t="inlineStr">
        <is>
          <t>ricochet</t>
        </is>
      </c>
      <c r="B46" s="8" t="inlineStr">
        <is>
          <t>鞋盒弹跳次数</t>
        </is>
      </c>
    </row>
    <row r="47">
      <c r="A47" s="6" t="inlineStr">
        <is>
          <t>gpw</t>
        </is>
      </c>
      <c r="B47" s="8" t="inlineStr">
        <is>
          <t>每波结束额外 GST</t>
        </is>
      </c>
    </row>
    <row r="48">
      <c r="A48" s="6" t="inlineStr">
        <is>
          <t>globalDmg</t>
        </is>
      </c>
      <c r="B48" s="8" t="inlineStr">
        <is>
          <t>全场装置效果加成</t>
        </is>
      </c>
    </row>
    <row r="49">
      <c r="A49" s="6" t="inlineStr">
        <is>
          <t>overN</t>
        </is>
      </c>
      <c r="B49" s="8" t="inlineStr">
        <is>
          <t>每第几次触发重低音</t>
        </is>
      </c>
    </row>
    <row r="50">
      <c r="A50" s="6" t="inlineStr">
        <is>
          <t>overMul</t>
        </is>
      </c>
      <c r="B50" s="8" t="inlineStr">
        <is>
          <t>重低音效果倍率</t>
        </is>
      </c>
    </row>
    <row r="51">
      <c r="A51" s="6" t="inlineStr">
        <is>
          <t>staticDps</t>
        </is>
      </c>
      <c r="B51" s="8" t="inlineStr">
        <is>
          <t>魔性旋律每秒效果</t>
        </is>
      </c>
    </row>
    <row r="52">
      <c r="A52" s="6" t="inlineStr">
        <is>
          <t>hash</t>
        </is>
      </c>
      <c r="B52" s="8" t="inlineStr">
        <is>
          <t>矿机算力</t>
        </is>
      </c>
    </row>
    <row r="53">
      <c r="A53" s="6" t="inlineStr">
        <is>
          <t>blockBonus</t>
        </is>
      </c>
      <c r="B53" s="8" t="inlineStr">
        <is>
          <t>出块奖励加成</t>
        </is>
      </c>
    </row>
    <row r="54">
      <c r="A54" s="6" t="inlineStr">
        <is>
          <t>heat</t>
        </is>
      </c>
      <c r="B54" s="8" t="inlineStr">
        <is>
          <t>矿机热风每秒效果</t>
        </is>
      </c>
    </row>
  </sheetData>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O21"/>
  <sheetViews>
    <sheetView workbookViewId="0">
      <pane xSplit="1" ySplit="2" topLeftCell="B3" activePane="bottomRight" state="frozen"/>
      <selection pane="topRight"/>
      <selection pane="bottomLeft"/>
      <selection pane="bottomRight" activeCell="A1" sqref="A1"/>
    </sheetView>
  </sheetViews>
  <sheetFormatPr baseColWidth="8" defaultRowHeight="15"/>
  <cols>
    <col width="7" customWidth="1" min="1" max="1"/>
    <col width="9" customWidth="1" min="2" max="2"/>
    <col width="12" customWidth="1" min="3" max="3"/>
    <col width="14" customWidth="1" min="4" max="4"/>
    <col width="16" customWidth="1" min="5" max="5"/>
    <col width="12" customWidth="1" min="6" max="6"/>
    <col width="16" customWidth="1" min="7" max="7"/>
    <col width="18" customWidth="1" min="8" max="8"/>
    <col width="18" customWidth="1" min="9" max="9"/>
    <col width="11" customWidth="1" min="10" max="10"/>
    <col width="26" customWidth="1" min="13" max="13"/>
    <col width="10" customWidth="1" min="14" max="14"/>
    <col width="70" customWidth="1" min="15" max="15"/>
  </cols>
  <sheetData>
    <row r="1" ht="30" customHeight="1">
      <c r="A1" s="4" t="inlineStr">
        <is>
          <t>波次</t>
        </is>
      </c>
      <c r="B1" s="4" t="inlineStr">
        <is>
          <t>总人数</t>
        </is>
      </c>
      <c r="C1" s="4" t="inlineStr">
        <is>
          <t>有效总体力</t>
        </is>
      </c>
      <c r="D1" s="4" t="inlineStr">
        <is>
          <t>本波劝退可得 GST</t>
        </is>
      </c>
      <c r="E1" s="4" t="inlineStr">
        <is>
          <t>开打前累计可用 GST</t>
        </is>
      </c>
      <c r="F1" s="4" t="inlineStr">
        <is>
          <t>预计时长（秒）</t>
        </is>
      </c>
      <c r="G1" s="4" t="inlineStr">
        <is>
          <t>需要的输出（HP/秒）</t>
        </is>
      </c>
      <c r="H1" s="4" t="inlineStr">
        <is>
          <t>预计可用输出（HP/秒）</t>
        </is>
      </c>
      <c r="I1" s="4" t="inlineStr">
        <is>
          <t>压力系数 = 需要 ÷ 可用</t>
        </is>
      </c>
      <c r="J1" s="4" t="inlineStr">
        <is>
          <t>较上一波</t>
        </is>
      </c>
    </row>
    <row r="2">
      <c r="A2" s="5" t="inlineStr"/>
      <c r="B2" s="5" t="inlineStr"/>
      <c r="C2" s="5" t="inlineStr"/>
      <c r="D2" s="5" t="inlineStr"/>
      <c r="E2" s="5" t="inlineStr"/>
      <c r="F2" s="5" t="inlineStr"/>
      <c r="G2" s="5" t="inlineStr"/>
      <c r="H2" s="5" t="inlineStr"/>
      <c r="I2" s="5" t="inlineStr"/>
      <c r="J2" s="5" t="inlineStr"/>
      <c r="M2" s="11" t="inlineStr">
        <is>
          <t>假设参数（蓝字可改）</t>
        </is>
      </c>
    </row>
    <row r="3">
      <c r="A3" s="9">
        <f>波次!A3</f>
        <v/>
      </c>
      <c r="B3" s="9">
        <f>波次!M3</f>
        <v/>
      </c>
      <c r="C3" s="12">
        <f>波次!B3*波次!D3+波次!C3*波次!E3*$N$3+波次!F3*波次!G3+(波次!I3*INDEX(全局!$B:$B,MATCH("hpRain",全局!$A:$A,0))+波次!J3*INDEX(全局!$B:$B,MATCH("hpHop",全局!$A:$A,0))+波次!K3*INDEX(全局!$B:$B,MATCH("hpPhones",全局!$A:$A,0)))*波次!D3+波次!L3*波次!E3*INDEX(全局!$B:$B,MATCH("hpWhale",全局!$A:$A,0))*$N$4</f>
        <v/>
      </c>
      <c r="D3" s="9">
        <f>波次!B3*INDEX(敌人!$G:$G,MATCH("norm",敌人!$A:$A,0))+波次!C3*INDEX(敌人!$G:$G,MATCH("arm",敌人!$A:$A,0))+波次!F3*INDEX(敌人!$G:$G,MATCH("boss",敌人!$A:$A,0))+波次!I3*INDEX(敌人!$G:$G,MATCH("rain",敌人!$A:$A,0))+波次!J3*INDEX(敌人!$G:$G,MATCH("hop",敌人!$A:$A,0))+波次!K3*INDEX(敌人!$G:$G,MATCH("phones",敌人!$A:$A,0))+波次!L3*INDEX(敌人!$G:$G,MATCH("whale",敌人!$A:$A,0))</f>
        <v/>
      </c>
      <c r="E3" s="9">
        <f>INDEX(全局!$B:$B,MATCH("startGold",全局!$A:$A,0))</f>
        <v/>
      </c>
      <c r="F3" s="13">
        <f>B3*MAX(INDEX(全局!$B:$B,MATCH("spawnMin",全局!$A:$A,0)),INDEX(全局!$B:$B,MATCH("spawnBase",全局!$A:$A,0))-A3*INDEX(全局!$B:$B,MATCH("spawnPerWave",全局!$A:$A,0)))+$N$5/$N$6</f>
        <v/>
      </c>
      <c r="G3" s="12">
        <f>C3/F3</f>
        <v/>
      </c>
      <c r="H3" s="12">
        <f>E3*$N$7</f>
        <v/>
      </c>
      <c r="I3" s="14">
        <f>G3/H3</f>
        <v/>
      </c>
      <c r="J3" s="15" t="inlineStr"/>
      <c r="M3" s="16" t="inlineStr">
        <is>
          <t>耐力跑者体力折算</t>
        </is>
      </c>
      <c r="N3" s="17" t="n">
        <v>1.6</v>
      </c>
      <c r="O3" s="10" t="inlineStr">
        <is>
          <t>耐力跑者对大多数装置有减免，按 ×1.6 算有效体力</t>
        </is>
      </c>
    </row>
    <row r="4">
      <c r="A4" s="9">
        <f>波次!A4</f>
        <v/>
      </c>
      <c r="B4" s="9">
        <f>波次!M4</f>
        <v/>
      </c>
      <c r="C4" s="12">
        <f>波次!B4*波次!D4+波次!C4*波次!E4*$N$3+波次!F4*波次!G4+(波次!I4*INDEX(全局!$B:$B,MATCH("hpRain",全局!$A:$A,0))+波次!J4*INDEX(全局!$B:$B,MATCH("hpHop",全局!$A:$A,0))+波次!K4*INDEX(全局!$B:$B,MATCH("hpPhones",全局!$A:$A,0)))*波次!D4+波次!L4*波次!E4*INDEX(全局!$B:$B,MATCH("hpWhale",全局!$A:$A,0))*$N$4</f>
        <v/>
      </c>
      <c r="D4" s="9">
        <f>波次!B4*INDEX(敌人!$G:$G,MATCH("norm",敌人!$A:$A,0))+波次!C4*INDEX(敌人!$G:$G,MATCH("arm",敌人!$A:$A,0))+波次!F4*INDEX(敌人!$G:$G,MATCH("boss",敌人!$A:$A,0))+波次!I4*INDEX(敌人!$G:$G,MATCH("rain",敌人!$A:$A,0))+波次!J4*INDEX(敌人!$G:$G,MATCH("hop",敌人!$A:$A,0))+波次!K4*INDEX(敌人!$G:$G,MATCH("phones",敌人!$A:$A,0))+波次!L4*INDEX(敌人!$G:$G,MATCH("whale",敌人!$A:$A,0))</f>
        <v/>
      </c>
      <c r="E4" s="9">
        <f>E3+D3+INDEX(全局!$B:$B,MATCH("waveReward",全局!$A:$A,0))</f>
        <v/>
      </c>
      <c r="F4" s="13">
        <f>B4*MAX(INDEX(全局!$B:$B,MATCH("spawnMin",全局!$A:$A,0)),INDEX(全局!$B:$B,MATCH("spawnBase",全局!$A:$A,0))-A4*INDEX(全局!$B:$B,MATCH("spawnPerWave",全局!$A:$A,0)))+$N$5/$N$6</f>
        <v/>
      </c>
      <c r="G4" s="12">
        <f>C4/F4</f>
        <v/>
      </c>
      <c r="H4" s="12">
        <f>E4*$N$7</f>
        <v/>
      </c>
      <c r="I4" s="14">
        <f>G4/H4</f>
        <v/>
      </c>
      <c r="J4" s="15">
        <f>I4/I3-1</f>
        <v/>
      </c>
      <c r="M4" s="16" t="inlineStr">
        <is>
          <t>巨鲸体力折算</t>
        </is>
      </c>
      <c r="N4" s="17" t="n">
        <v>1.5</v>
      </c>
      <c r="O4" s="10" t="inlineStr">
        <is>
          <t>巨鲸削弱小伤害，按 ×1.5 算有效体力</t>
        </is>
      </c>
    </row>
    <row r="5">
      <c r="A5" s="9">
        <f>波次!A5</f>
        <v/>
      </c>
      <c r="B5" s="9">
        <f>波次!M5</f>
        <v/>
      </c>
      <c r="C5" s="12">
        <f>波次!B5*波次!D5+波次!C5*波次!E5*$N$3+波次!F5*波次!G5+(波次!I5*INDEX(全局!$B:$B,MATCH("hpRain",全局!$A:$A,0))+波次!J5*INDEX(全局!$B:$B,MATCH("hpHop",全局!$A:$A,0))+波次!K5*INDEX(全局!$B:$B,MATCH("hpPhones",全局!$A:$A,0)))*波次!D5+波次!L5*波次!E5*INDEX(全局!$B:$B,MATCH("hpWhale",全局!$A:$A,0))*$N$4</f>
        <v/>
      </c>
      <c r="D5" s="9">
        <f>波次!B5*INDEX(敌人!$G:$G,MATCH("norm",敌人!$A:$A,0))+波次!C5*INDEX(敌人!$G:$G,MATCH("arm",敌人!$A:$A,0))+波次!F5*INDEX(敌人!$G:$G,MATCH("boss",敌人!$A:$A,0))+波次!I5*INDEX(敌人!$G:$G,MATCH("rain",敌人!$A:$A,0))+波次!J5*INDEX(敌人!$G:$G,MATCH("hop",敌人!$A:$A,0))+波次!K5*INDEX(敌人!$G:$G,MATCH("phones",敌人!$A:$A,0))+波次!L5*INDEX(敌人!$G:$G,MATCH("whale",敌人!$A:$A,0))</f>
        <v/>
      </c>
      <c r="E5" s="9">
        <f>E4+D4+INDEX(全局!$B:$B,MATCH("waveReward",全局!$A:$A,0))</f>
        <v/>
      </c>
      <c r="F5" s="13">
        <f>B5*MAX(INDEX(全局!$B:$B,MATCH("spawnMin",全局!$A:$A,0)),INDEX(全局!$B:$B,MATCH("spawnBase",全局!$A:$A,0))-A5*INDEX(全局!$B:$B,MATCH("spawnPerWave",全局!$A:$A,0)))+$N$5/$N$6</f>
        <v/>
      </c>
      <c r="G5" s="12">
        <f>C5/F5</f>
        <v/>
      </c>
      <c r="H5" s="12">
        <f>E5*$N$7</f>
        <v/>
      </c>
      <c r="I5" s="14">
        <f>G5/H5</f>
        <v/>
      </c>
      <c r="J5" s="15">
        <f>I5/I4-1</f>
        <v/>
      </c>
      <c r="M5" s="16" t="inlineStr">
        <is>
          <t>跑道长度（像素）</t>
        </is>
      </c>
      <c r="N5" s="17" t="n">
        <v>1500</v>
      </c>
      <c r="O5" s="10" t="inlineStr">
        <is>
          <t>经典跑道大约 1500</t>
        </is>
      </c>
    </row>
    <row r="6">
      <c r="A6" s="9">
        <f>波次!A6</f>
        <v/>
      </c>
      <c r="B6" s="9">
        <f>波次!M6</f>
        <v/>
      </c>
      <c r="C6" s="12">
        <f>波次!B6*波次!D6+波次!C6*波次!E6*$N$3+波次!F6*波次!G6+(波次!I6*INDEX(全局!$B:$B,MATCH("hpRain",全局!$A:$A,0))+波次!J6*INDEX(全局!$B:$B,MATCH("hpHop",全局!$A:$A,0))+波次!K6*INDEX(全局!$B:$B,MATCH("hpPhones",全局!$A:$A,0)))*波次!D6+波次!L6*波次!E6*INDEX(全局!$B:$B,MATCH("hpWhale",全局!$A:$A,0))*$N$4</f>
        <v/>
      </c>
      <c r="D6" s="9">
        <f>波次!B6*INDEX(敌人!$G:$G,MATCH("norm",敌人!$A:$A,0))+波次!C6*INDEX(敌人!$G:$G,MATCH("arm",敌人!$A:$A,0))+波次!F6*INDEX(敌人!$G:$G,MATCH("boss",敌人!$A:$A,0))+波次!I6*INDEX(敌人!$G:$G,MATCH("rain",敌人!$A:$A,0))+波次!J6*INDEX(敌人!$G:$G,MATCH("hop",敌人!$A:$A,0))+波次!K6*INDEX(敌人!$G:$G,MATCH("phones",敌人!$A:$A,0))+波次!L6*INDEX(敌人!$G:$G,MATCH("whale",敌人!$A:$A,0))</f>
        <v/>
      </c>
      <c r="E6" s="9">
        <f>E5+D5+INDEX(全局!$B:$B,MATCH("waveReward",全局!$A:$A,0))</f>
        <v/>
      </c>
      <c r="F6" s="13">
        <f>B6*MAX(INDEX(全局!$B:$B,MATCH("spawnMin",全局!$A:$A,0)),INDEX(全局!$B:$B,MATCH("spawnBase",全局!$A:$A,0))-A6*INDEX(全局!$B:$B,MATCH("spawnPerWave",全局!$A:$A,0)))+$N$5/$N$6</f>
        <v/>
      </c>
      <c r="G6" s="12">
        <f>C6/F6</f>
        <v/>
      </c>
      <c r="H6" s="12">
        <f>E6*$N$7</f>
        <v/>
      </c>
      <c r="I6" s="14">
        <f>G6/H6</f>
        <v/>
      </c>
      <c r="J6" s="15">
        <f>I6/I5-1</f>
        <v/>
      </c>
      <c r="M6" s="16" t="inlineStr">
        <is>
          <t>平均移速</t>
        </is>
      </c>
      <c r="N6" s="17">
        <f>INDEX(敌人!$F:$F,MATCH("norm",敌人!$A:$A,0))</f>
        <v/>
      </c>
      <c r="O6" s="10" t="inlineStr">
        <is>
          <t>取慢跑者移速</t>
        </is>
      </c>
    </row>
    <row r="7">
      <c r="A7" s="9">
        <f>波次!A7</f>
        <v/>
      </c>
      <c r="B7" s="9">
        <f>波次!M7</f>
        <v/>
      </c>
      <c r="C7" s="12">
        <f>波次!B7*波次!D7+波次!C7*波次!E7*$N$3+波次!F7*波次!G7+(波次!I7*INDEX(全局!$B:$B,MATCH("hpRain",全局!$A:$A,0))+波次!J7*INDEX(全局!$B:$B,MATCH("hpHop",全局!$A:$A,0))+波次!K7*INDEX(全局!$B:$B,MATCH("hpPhones",全局!$A:$A,0)))*波次!D7+波次!L7*波次!E7*INDEX(全局!$B:$B,MATCH("hpWhale",全局!$A:$A,0))*$N$4</f>
        <v/>
      </c>
      <c r="D7" s="9">
        <f>波次!B7*INDEX(敌人!$G:$G,MATCH("norm",敌人!$A:$A,0))+波次!C7*INDEX(敌人!$G:$G,MATCH("arm",敌人!$A:$A,0))+波次!F7*INDEX(敌人!$G:$G,MATCH("boss",敌人!$A:$A,0))+波次!I7*INDEX(敌人!$G:$G,MATCH("rain",敌人!$A:$A,0))+波次!J7*INDEX(敌人!$G:$G,MATCH("hop",敌人!$A:$A,0))+波次!K7*INDEX(敌人!$G:$G,MATCH("phones",敌人!$A:$A,0))+波次!L7*INDEX(敌人!$G:$G,MATCH("whale",敌人!$A:$A,0))</f>
        <v/>
      </c>
      <c r="E7" s="9">
        <f>E6+D6+INDEX(全局!$B:$B,MATCH("waveReward",全局!$A:$A,0))</f>
        <v/>
      </c>
      <c r="F7" s="13">
        <f>B7*MAX(INDEX(全局!$B:$B,MATCH("spawnMin",全局!$A:$A,0)),INDEX(全局!$B:$B,MATCH("spawnBase",全局!$A:$A,0))-A7*INDEX(全局!$B:$B,MATCH("spawnPerWave",全局!$A:$A,0)))+$N$5/$N$6</f>
        <v/>
      </c>
      <c r="G7" s="12">
        <f>C7/F7</f>
        <v/>
      </c>
      <c r="H7" s="12">
        <f>E7*$N$7</f>
        <v/>
      </c>
      <c r="I7" s="14">
        <f>G7/H7</f>
        <v/>
      </c>
      <c r="J7" s="15">
        <f>I7/I6-1</f>
        <v/>
      </c>
      <c r="M7" s="16" t="inlineStr">
        <is>
          <t>每 GST 可换来的输出（HP/秒）</t>
        </is>
      </c>
      <c r="N7" s="17" t="n">
        <v>0.025</v>
      </c>
      <c r="O7" s="10" t="inlineStr">
        <is>
          <t>用「数值体检·装置」里基础装置的平均值粗估；投入越多、越靠后的升级越不划算</t>
        </is>
      </c>
    </row>
    <row r="8">
      <c r="A8" s="9">
        <f>波次!A8</f>
        <v/>
      </c>
      <c r="B8" s="9">
        <f>波次!M8</f>
        <v/>
      </c>
      <c r="C8" s="12">
        <f>波次!B8*波次!D8+波次!C8*波次!E8*$N$3+波次!F8*波次!G8+(波次!I8*INDEX(全局!$B:$B,MATCH("hpRain",全局!$A:$A,0))+波次!J8*INDEX(全局!$B:$B,MATCH("hpHop",全局!$A:$A,0))+波次!K8*INDEX(全局!$B:$B,MATCH("hpPhones",全局!$A:$A,0)))*波次!D8+波次!L8*波次!E8*INDEX(全局!$B:$B,MATCH("hpWhale",全局!$A:$A,0))*$N$4</f>
        <v/>
      </c>
      <c r="D8" s="9">
        <f>波次!B8*INDEX(敌人!$G:$G,MATCH("norm",敌人!$A:$A,0))+波次!C8*INDEX(敌人!$G:$G,MATCH("arm",敌人!$A:$A,0))+波次!F8*INDEX(敌人!$G:$G,MATCH("boss",敌人!$A:$A,0))+波次!I8*INDEX(敌人!$G:$G,MATCH("rain",敌人!$A:$A,0))+波次!J8*INDEX(敌人!$G:$G,MATCH("hop",敌人!$A:$A,0))+波次!K8*INDEX(敌人!$G:$G,MATCH("phones",敌人!$A:$A,0))+波次!L8*INDEX(敌人!$G:$G,MATCH("whale",敌人!$A:$A,0))</f>
        <v/>
      </c>
      <c r="E8" s="9">
        <f>E7+D7+INDEX(全局!$B:$B,MATCH("waveReward",全局!$A:$A,0))</f>
        <v/>
      </c>
      <c r="F8" s="13">
        <f>B8*MAX(INDEX(全局!$B:$B,MATCH("spawnMin",全局!$A:$A,0)),INDEX(全局!$B:$B,MATCH("spawnBase",全局!$A:$A,0))-A8*INDEX(全局!$B:$B,MATCH("spawnPerWave",全局!$A:$A,0)))+$N$5/$N$6</f>
        <v/>
      </c>
      <c r="G8" s="12">
        <f>C8/F8</f>
        <v/>
      </c>
      <c r="H8" s="12">
        <f>E8*$N$7</f>
        <v/>
      </c>
      <c r="I8" s="14">
        <f>G8/H8</f>
        <v/>
      </c>
      <c r="J8" s="15">
        <f>I8/I7-1</f>
        <v/>
      </c>
      <c r="M8" s="16" t="inlineStr">
        <is>
          <t>压力系数：上限</t>
        </is>
      </c>
      <c r="N8" s="17" t="n">
        <v>0.85</v>
      </c>
      <c r="O8" s="10" t="inlineStr">
        <is>
          <t>超过就标红（按机器人实测校准：现有 15 波在 1.4 倍体力下仍能通关）</t>
        </is>
      </c>
    </row>
    <row r="9">
      <c r="A9" s="9">
        <f>波次!A9</f>
        <v/>
      </c>
      <c r="B9" s="9">
        <f>波次!M9</f>
        <v/>
      </c>
      <c r="C9" s="12">
        <f>波次!B9*波次!D9+波次!C9*波次!E9*$N$3+波次!F9*波次!G9+(波次!I9*INDEX(全局!$B:$B,MATCH("hpRain",全局!$A:$A,0))+波次!J9*INDEX(全局!$B:$B,MATCH("hpHop",全局!$A:$A,0))+波次!K9*INDEX(全局!$B:$B,MATCH("hpPhones",全局!$A:$A,0)))*波次!D9+波次!L9*波次!E9*INDEX(全局!$B:$B,MATCH("hpWhale",全局!$A:$A,0))*$N$4</f>
        <v/>
      </c>
      <c r="D9" s="9">
        <f>波次!B9*INDEX(敌人!$G:$G,MATCH("norm",敌人!$A:$A,0))+波次!C9*INDEX(敌人!$G:$G,MATCH("arm",敌人!$A:$A,0))+波次!F9*INDEX(敌人!$G:$G,MATCH("boss",敌人!$A:$A,0))+波次!I9*INDEX(敌人!$G:$G,MATCH("rain",敌人!$A:$A,0))+波次!J9*INDEX(敌人!$G:$G,MATCH("hop",敌人!$A:$A,0))+波次!K9*INDEX(敌人!$G:$G,MATCH("phones",敌人!$A:$A,0))+波次!L9*INDEX(敌人!$G:$G,MATCH("whale",敌人!$A:$A,0))</f>
        <v/>
      </c>
      <c r="E9" s="9">
        <f>E8+D8+INDEX(全局!$B:$B,MATCH("waveReward",全局!$A:$A,0))</f>
        <v/>
      </c>
      <c r="F9" s="13">
        <f>B9*MAX(INDEX(全局!$B:$B,MATCH("spawnMin",全局!$A:$A,0)),INDEX(全局!$B:$B,MATCH("spawnBase",全局!$A:$A,0))-A9*INDEX(全局!$B:$B,MATCH("spawnPerWave",全局!$A:$A,0)))+$N$5/$N$6</f>
        <v/>
      </c>
      <c r="G9" s="12">
        <f>C9/F9</f>
        <v/>
      </c>
      <c r="H9" s="12">
        <f>E9*$N$7</f>
        <v/>
      </c>
      <c r="I9" s="14">
        <f>G9/H9</f>
        <v/>
      </c>
      <c r="J9" s="15">
        <f>I9/I8-1</f>
        <v/>
      </c>
      <c r="M9" s="16" t="inlineStr">
        <is>
          <t>压力系数：下限</t>
        </is>
      </c>
      <c r="N9" s="17" t="n">
        <v>0.25</v>
      </c>
      <c r="O9" s="10" t="inlineStr">
        <is>
          <t>低于就标黄，太轻松</t>
        </is>
      </c>
    </row>
    <row r="10">
      <c r="A10" s="9">
        <f>波次!A10</f>
        <v/>
      </c>
      <c r="B10" s="9">
        <f>波次!M10</f>
        <v/>
      </c>
      <c r="C10" s="12">
        <f>波次!B10*波次!D10+波次!C10*波次!E10*$N$3+波次!F10*波次!G10+(波次!I10*INDEX(全局!$B:$B,MATCH("hpRain",全局!$A:$A,0))+波次!J10*INDEX(全局!$B:$B,MATCH("hpHop",全局!$A:$A,0))+波次!K10*INDEX(全局!$B:$B,MATCH("hpPhones",全局!$A:$A,0)))*波次!D10+波次!L10*波次!E10*INDEX(全局!$B:$B,MATCH("hpWhale",全局!$A:$A,0))*$N$4</f>
        <v/>
      </c>
      <c r="D10" s="9">
        <f>波次!B10*INDEX(敌人!$G:$G,MATCH("norm",敌人!$A:$A,0))+波次!C10*INDEX(敌人!$G:$G,MATCH("arm",敌人!$A:$A,0))+波次!F10*INDEX(敌人!$G:$G,MATCH("boss",敌人!$A:$A,0))+波次!I10*INDEX(敌人!$G:$G,MATCH("rain",敌人!$A:$A,0))+波次!J10*INDEX(敌人!$G:$G,MATCH("hop",敌人!$A:$A,0))+波次!K10*INDEX(敌人!$G:$G,MATCH("phones",敌人!$A:$A,0))+波次!L10*INDEX(敌人!$G:$G,MATCH("whale",敌人!$A:$A,0))</f>
        <v/>
      </c>
      <c r="E10" s="9">
        <f>E9+D9+INDEX(全局!$B:$B,MATCH("waveReward",全局!$A:$A,0))</f>
        <v/>
      </c>
      <c r="F10" s="13">
        <f>B10*MAX(INDEX(全局!$B:$B,MATCH("spawnMin",全局!$A:$A,0)),INDEX(全局!$B:$B,MATCH("spawnBase",全局!$A:$A,0))-A10*INDEX(全局!$B:$B,MATCH("spawnPerWave",全局!$A:$A,0)))+$N$5/$N$6</f>
        <v/>
      </c>
      <c r="G10" s="12">
        <f>C10/F10</f>
        <v/>
      </c>
      <c r="H10" s="12">
        <f>E10*$N$7</f>
        <v/>
      </c>
      <c r="I10" s="14">
        <f>G10/H10</f>
        <v/>
      </c>
      <c r="J10" s="15">
        <f>I10/I9-1</f>
        <v/>
      </c>
    </row>
    <row r="11">
      <c r="A11" s="9">
        <f>波次!A11</f>
        <v/>
      </c>
      <c r="B11" s="9">
        <f>波次!M11</f>
        <v/>
      </c>
      <c r="C11" s="12">
        <f>波次!B11*波次!D11+波次!C11*波次!E11*$N$3+波次!F11*波次!G11+(波次!I11*INDEX(全局!$B:$B,MATCH("hpRain",全局!$A:$A,0))+波次!J11*INDEX(全局!$B:$B,MATCH("hpHop",全局!$A:$A,0))+波次!K11*INDEX(全局!$B:$B,MATCH("hpPhones",全局!$A:$A,0)))*波次!D11+波次!L11*波次!E11*INDEX(全局!$B:$B,MATCH("hpWhale",全局!$A:$A,0))*$N$4</f>
        <v/>
      </c>
      <c r="D11" s="9">
        <f>波次!B11*INDEX(敌人!$G:$G,MATCH("norm",敌人!$A:$A,0))+波次!C11*INDEX(敌人!$G:$G,MATCH("arm",敌人!$A:$A,0))+波次!F11*INDEX(敌人!$G:$G,MATCH("boss",敌人!$A:$A,0))+波次!I11*INDEX(敌人!$G:$G,MATCH("rain",敌人!$A:$A,0))+波次!J11*INDEX(敌人!$G:$G,MATCH("hop",敌人!$A:$A,0))+波次!K11*INDEX(敌人!$G:$G,MATCH("phones",敌人!$A:$A,0))+波次!L11*INDEX(敌人!$G:$G,MATCH("whale",敌人!$A:$A,0))</f>
        <v/>
      </c>
      <c r="E11" s="9">
        <f>E10+D10+INDEX(全局!$B:$B,MATCH("waveReward",全局!$A:$A,0))</f>
        <v/>
      </c>
      <c r="F11" s="13">
        <f>B11*MAX(INDEX(全局!$B:$B,MATCH("spawnMin",全局!$A:$A,0)),INDEX(全局!$B:$B,MATCH("spawnBase",全局!$A:$A,0))-A11*INDEX(全局!$B:$B,MATCH("spawnPerWave",全局!$A:$A,0)))+$N$5/$N$6</f>
        <v/>
      </c>
      <c r="G11" s="12">
        <f>C11/F11</f>
        <v/>
      </c>
      <c r="H11" s="12">
        <f>E11*$N$7</f>
        <v/>
      </c>
      <c r="I11" s="14">
        <f>G11/H11</f>
        <v/>
      </c>
      <c r="J11" s="15">
        <f>I11/I10-1</f>
        <v/>
      </c>
    </row>
    <row r="12">
      <c r="A12" s="9">
        <f>波次!A12</f>
        <v/>
      </c>
      <c r="B12" s="9">
        <f>波次!M12</f>
        <v/>
      </c>
      <c r="C12" s="12">
        <f>波次!B12*波次!D12+波次!C12*波次!E12*$N$3+波次!F12*波次!G12+(波次!I12*INDEX(全局!$B:$B,MATCH("hpRain",全局!$A:$A,0))+波次!J12*INDEX(全局!$B:$B,MATCH("hpHop",全局!$A:$A,0))+波次!K12*INDEX(全局!$B:$B,MATCH("hpPhones",全局!$A:$A,0)))*波次!D12+波次!L12*波次!E12*INDEX(全局!$B:$B,MATCH("hpWhale",全局!$A:$A,0))*$N$4</f>
        <v/>
      </c>
      <c r="D12" s="9">
        <f>波次!B12*INDEX(敌人!$G:$G,MATCH("norm",敌人!$A:$A,0))+波次!C12*INDEX(敌人!$G:$G,MATCH("arm",敌人!$A:$A,0))+波次!F12*INDEX(敌人!$G:$G,MATCH("boss",敌人!$A:$A,0))+波次!I12*INDEX(敌人!$G:$G,MATCH("rain",敌人!$A:$A,0))+波次!J12*INDEX(敌人!$G:$G,MATCH("hop",敌人!$A:$A,0))+波次!K12*INDEX(敌人!$G:$G,MATCH("phones",敌人!$A:$A,0))+波次!L12*INDEX(敌人!$G:$G,MATCH("whale",敌人!$A:$A,0))</f>
        <v/>
      </c>
      <c r="E12" s="9">
        <f>E11+D11+INDEX(全局!$B:$B,MATCH("waveReward",全局!$A:$A,0))</f>
        <v/>
      </c>
      <c r="F12" s="13">
        <f>B12*MAX(INDEX(全局!$B:$B,MATCH("spawnMin",全局!$A:$A,0)),INDEX(全局!$B:$B,MATCH("spawnBase",全局!$A:$A,0))-A12*INDEX(全局!$B:$B,MATCH("spawnPerWave",全局!$A:$A,0)))+$N$5/$N$6</f>
        <v/>
      </c>
      <c r="G12" s="12">
        <f>C12/F12</f>
        <v/>
      </c>
      <c r="H12" s="12">
        <f>E12*$N$7</f>
        <v/>
      </c>
      <c r="I12" s="14">
        <f>G12/H12</f>
        <v/>
      </c>
      <c r="J12" s="15">
        <f>I12/I11-1</f>
        <v/>
      </c>
    </row>
    <row r="13">
      <c r="A13" s="9">
        <f>波次!A13</f>
        <v/>
      </c>
      <c r="B13" s="9">
        <f>波次!M13</f>
        <v/>
      </c>
      <c r="C13" s="12">
        <f>波次!B13*波次!D13+波次!C13*波次!E13*$N$3+波次!F13*波次!G13+(波次!I13*INDEX(全局!$B:$B,MATCH("hpRain",全局!$A:$A,0))+波次!J13*INDEX(全局!$B:$B,MATCH("hpHop",全局!$A:$A,0))+波次!K13*INDEX(全局!$B:$B,MATCH("hpPhones",全局!$A:$A,0)))*波次!D13+波次!L13*波次!E13*INDEX(全局!$B:$B,MATCH("hpWhale",全局!$A:$A,0))*$N$4</f>
        <v/>
      </c>
      <c r="D13" s="9">
        <f>波次!B13*INDEX(敌人!$G:$G,MATCH("norm",敌人!$A:$A,0))+波次!C13*INDEX(敌人!$G:$G,MATCH("arm",敌人!$A:$A,0))+波次!F13*INDEX(敌人!$G:$G,MATCH("boss",敌人!$A:$A,0))+波次!I13*INDEX(敌人!$G:$G,MATCH("rain",敌人!$A:$A,0))+波次!J13*INDEX(敌人!$G:$G,MATCH("hop",敌人!$A:$A,0))+波次!K13*INDEX(敌人!$G:$G,MATCH("phones",敌人!$A:$A,0))+波次!L13*INDEX(敌人!$G:$G,MATCH("whale",敌人!$A:$A,0))</f>
        <v/>
      </c>
      <c r="E13" s="9">
        <f>E12+D12+INDEX(全局!$B:$B,MATCH("waveReward",全局!$A:$A,0))</f>
        <v/>
      </c>
      <c r="F13" s="13">
        <f>B13*MAX(INDEX(全局!$B:$B,MATCH("spawnMin",全局!$A:$A,0)),INDEX(全局!$B:$B,MATCH("spawnBase",全局!$A:$A,0))-A13*INDEX(全局!$B:$B,MATCH("spawnPerWave",全局!$A:$A,0)))+$N$5/$N$6</f>
        <v/>
      </c>
      <c r="G13" s="12">
        <f>C13/F13</f>
        <v/>
      </c>
      <c r="H13" s="12">
        <f>E13*$N$7</f>
        <v/>
      </c>
      <c r="I13" s="14">
        <f>G13/H13</f>
        <v/>
      </c>
      <c r="J13" s="15">
        <f>I13/I12-1</f>
        <v/>
      </c>
    </row>
    <row r="14">
      <c r="A14" s="9">
        <f>波次!A14</f>
        <v/>
      </c>
      <c r="B14" s="9">
        <f>波次!M14</f>
        <v/>
      </c>
      <c r="C14" s="12">
        <f>波次!B14*波次!D14+波次!C14*波次!E14*$N$3+波次!F14*波次!G14+(波次!I14*INDEX(全局!$B:$B,MATCH("hpRain",全局!$A:$A,0))+波次!J14*INDEX(全局!$B:$B,MATCH("hpHop",全局!$A:$A,0))+波次!K14*INDEX(全局!$B:$B,MATCH("hpPhones",全局!$A:$A,0)))*波次!D14+波次!L14*波次!E14*INDEX(全局!$B:$B,MATCH("hpWhale",全局!$A:$A,0))*$N$4</f>
        <v/>
      </c>
      <c r="D14" s="9">
        <f>波次!B14*INDEX(敌人!$G:$G,MATCH("norm",敌人!$A:$A,0))+波次!C14*INDEX(敌人!$G:$G,MATCH("arm",敌人!$A:$A,0))+波次!F14*INDEX(敌人!$G:$G,MATCH("boss",敌人!$A:$A,0))+波次!I14*INDEX(敌人!$G:$G,MATCH("rain",敌人!$A:$A,0))+波次!J14*INDEX(敌人!$G:$G,MATCH("hop",敌人!$A:$A,0))+波次!K14*INDEX(敌人!$G:$G,MATCH("phones",敌人!$A:$A,0))+波次!L14*INDEX(敌人!$G:$G,MATCH("whale",敌人!$A:$A,0))</f>
        <v/>
      </c>
      <c r="E14" s="9">
        <f>E13+D13+INDEX(全局!$B:$B,MATCH("waveReward",全局!$A:$A,0))</f>
        <v/>
      </c>
      <c r="F14" s="13">
        <f>B14*MAX(INDEX(全局!$B:$B,MATCH("spawnMin",全局!$A:$A,0)),INDEX(全局!$B:$B,MATCH("spawnBase",全局!$A:$A,0))-A14*INDEX(全局!$B:$B,MATCH("spawnPerWave",全局!$A:$A,0)))+$N$5/$N$6</f>
        <v/>
      </c>
      <c r="G14" s="12">
        <f>C14/F14</f>
        <v/>
      </c>
      <c r="H14" s="12">
        <f>E14*$N$7</f>
        <v/>
      </c>
      <c r="I14" s="14">
        <f>G14/H14</f>
        <v/>
      </c>
      <c r="J14" s="15">
        <f>I14/I13-1</f>
        <v/>
      </c>
    </row>
    <row r="15">
      <c r="A15" s="9">
        <f>波次!A15</f>
        <v/>
      </c>
      <c r="B15" s="9">
        <f>波次!M15</f>
        <v/>
      </c>
      <c r="C15" s="12">
        <f>波次!B15*波次!D15+波次!C15*波次!E15*$N$3+波次!F15*波次!G15+(波次!I15*INDEX(全局!$B:$B,MATCH("hpRain",全局!$A:$A,0))+波次!J15*INDEX(全局!$B:$B,MATCH("hpHop",全局!$A:$A,0))+波次!K15*INDEX(全局!$B:$B,MATCH("hpPhones",全局!$A:$A,0)))*波次!D15+波次!L15*波次!E15*INDEX(全局!$B:$B,MATCH("hpWhale",全局!$A:$A,0))*$N$4</f>
        <v/>
      </c>
      <c r="D15" s="9">
        <f>波次!B15*INDEX(敌人!$G:$G,MATCH("norm",敌人!$A:$A,0))+波次!C15*INDEX(敌人!$G:$G,MATCH("arm",敌人!$A:$A,0))+波次!F15*INDEX(敌人!$G:$G,MATCH("boss",敌人!$A:$A,0))+波次!I15*INDEX(敌人!$G:$G,MATCH("rain",敌人!$A:$A,0))+波次!J15*INDEX(敌人!$G:$G,MATCH("hop",敌人!$A:$A,0))+波次!K15*INDEX(敌人!$G:$G,MATCH("phones",敌人!$A:$A,0))+波次!L15*INDEX(敌人!$G:$G,MATCH("whale",敌人!$A:$A,0))</f>
        <v/>
      </c>
      <c r="E15" s="9">
        <f>E14+D14+INDEX(全局!$B:$B,MATCH("waveReward",全局!$A:$A,0))</f>
        <v/>
      </c>
      <c r="F15" s="13">
        <f>B15*MAX(INDEX(全局!$B:$B,MATCH("spawnMin",全局!$A:$A,0)),INDEX(全局!$B:$B,MATCH("spawnBase",全局!$A:$A,0))-A15*INDEX(全局!$B:$B,MATCH("spawnPerWave",全局!$A:$A,0)))+$N$5/$N$6</f>
        <v/>
      </c>
      <c r="G15" s="12">
        <f>C15/F15</f>
        <v/>
      </c>
      <c r="H15" s="12">
        <f>E15*$N$7</f>
        <v/>
      </c>
      <c r="I15" s="14">
        <f>G15/H15</f>
        <v/>
      </c>
      <c r="J15" s="15">
        <f>I15/I14-1</f>
        <v/>
      </c>
    </row>
    <row r="16">
      <c r="A16" s="9">
        <f>波次!A16</f>
        <v/>
      </c>
      <c r="B16" s="9">
        <f>波次!M16</f>
        <v/>
      </c>
      <c r="C16" s="12">
        <f>波次!B16*波次!D16+波次!C16*波次!E16*$N$3+波次!F16*波次!G16+(波次!I16*INDEX(全局!$B:$B,MATCH("hpRain",全局!$A:$A,0))+波次!J16*INDEX(全局!$B:$B,MATCH("hpHop",全局!$A:$A,0))+波次!K16*INDEX(全局!$B:$B,MATCH("hpPhones",全局!$A:$A,0)))*波次!D16+波次!L16*波次!E16*INDEX(全局!$B:$B,MATCH("hpWhale",全局!$A:$A,0))*$N$4</f>
        <v/>
      </c>
      <c r="D16" s="9">
        <f>波次!B16*INDEX(敌人!$G:$G,MATCH("norm",敌人!$A:$A,0))+波次!C16*INDEX(敌人!$G:$G,MATCH("arm",敌人!$A:$A,0))+波次!F16*INDEX(敌人!$G:$G,MATCH("boss",敌人!$A:$A,0))+波次!I16*INDEX(敌人!$G:$G,MATCH("rain",敌人!$A:$A,0))+波次!J16*INDEX(敌人!$G:$G,MATCH("hop",敌人!$A:$A,0))+波次!K16*INDEX(敌人!$G:$G,MATCH("phones",敌人!$A:$A,0))+波次!L16*INDEX(敌人!$G:$G,MATCH("whale",敌人!$A:$A,0))</f>
        <v/>
      </c>
      <c r="E16" s="9">
        <f>E15+D15+INDEX(全局!$B:$B,MATCH("waveReward",全局!$A:$A,0))</f>
        <v/>
      </c>
      <c r="F16" s="13">
        <f>B16*MAX(INDEX(全局!$B:$B,MATCH("spawnMin",全局!$A:$A,0)),INDEX(全局!$B:$B,MATCH("spawnBase",全局!$A:$A,0))-A16*INDEX(全局!$B:$B,MATCH("spawnPerWave",全局!$A:$A,0)))+$N$5/$N$6</f>
        <v/>
      </c>
      <c r="G16" s="12">
        <f>C16/F16</f>
        <v/>
      </c>
      <c r="H16" s="12">
        <f>E16*$N$7</f>
        <v/>
      </c>
      <c r="I16" s="14">
        <f>G16/H16</f>
        <v/>
      </c>
      <c r="J16" s="15">
        <f>I16/I15-1</f>
        <v/>
      </c>
    </row>
    <row r="17">
      <c r="A17" s="9">
        <f>波次!A17</f>
        <v/>
      </c>
      <c r="B17" s="9">
        <f>波次!M17</f>
        <v/>
      </c>
      <c r="C17" s="12">
        <f>波次!B17*波次!D17+波次!C17*波次!E17*$N$3+波次!F17*波次!G17+(波次!I17*INDEX(全局!$B:$B,MATCH("hpRain",全局!$A:$A,0))+波次!J17*INDEX(全局!$B:$B,MATCH("hpHop",全局!$A:$A,0))+波次!K17*INDEX(全局!$B:$B,MATCH("hpPhones",全局!$A:$A,0)))*波次!D17+波次!L17*波次!E17*INDEX(全局!$B:$B,MATCH("hpWhale",全局!$A:$A,0))*$N$4</f>
        <v/>
      </c>
      <c r="D17" s="9">
        <f>波次!B17*INDEX(敌人!$G:$G,MATCH("norm",敌人!$A:$A,0))+波次!C17*INDEX(敌人!$G:$G,MATCH("arm",敌人!$A:$A,0))+波次!F17*INDEX(敌人!$G:$G,MATCH("boss",敌人!$A:$A,0))+波次!I17*INDEX(敌人!$G:$G,MATCH("rain",敌人!$A:$A,0))+波次!J17*INDEX(敌人!$G:$G,MATCH("hop",敌人!$A:$A,0))+波次!K17*INDEX(敌人!$G:$G,MATCH("phones",敌人!$A:$A,0))+波次!L17*INDEX(敌人!$G:$G,MATCH("whale",敌人!$A:$A,0))</f>
        <v/>
      </c>
      <c r="E17" s="9">
        <f>E16+D16+INDEX(全局!$B:$B,MATCH("waveReward",全局!$A:$A,0))</f>
        <v/>
      </c>
      <c r="F17" s="13">
        <f>B17*MAX(INDEX(全局!$B:$B,MATCH("spawnMin",全局!$A:$A,0)),INDEX(全局!$B:$B,MATCH("spawnBase",全局!$A:$A,0))-A17*INDEX(全局!$B:$B,MATCH("spawnPerWave",全局!$A:$A,0)))+$N$5/$N$6</f>
        <v/>
      </c>
      <c r="G17" s="12">
        <f>C17/F17</f>
        <v/>
      </c>
      <c r="H17" s="12">
        <f>E17*$N$7</f>
        <v/>
      </c>
      <c r="I17" s="14">
        <f>G17/H17</f>
        <v/>
      </c>
      <c r="J17" s="15">
        <f>I17/I16-1</f>
        <v/>
      </c>
    </row>
    <row r="19">
      <c r="A19" s="10" t="inlineStr">
        <is>
          <t>怎么看：压力系数 = 这一波需要的输出 ÷ 按累计 GST 估出来的可用输出。绿色在目标区间，红色太难，黄色太轻松。</t>
        </is>
      </c>
    </row>
    <row r="20">
      <c r="A20" s="10" t="inlineStr">
        <is>
          <t>理想曲线：前几波偏低让玩家站稳，之后缓慢上升；「较上一波」超过 +30% 会标红，代表难度突然跳一大截。</t>
        </is>
      </c>
    </row>
    <row r="21">
      <c r="A21" s="10" t="inlineStr">
        <is>
          <t>这是粗估：没算神秘箱卡牌、组合和矿机，所以只看相对走势，不看绝对值。改了「波次」「敌人」「全局」表，这里会自动重算。</t>
        </is>
      </c>
    </row>
  </sheetData>
  <conditionalFormatting sqref="I3:I17">
    <cfRule type="cellIs" priority="1" operator="greaterThan" dxfId="0">
      <formula>$N$8</formula>
    </cfRule>
    <cfRule type="cellIs" priority="2" operator="lessThan" dxfId="1">
      <formula>$N$9</formula>
    </cfRule>
    <cfRule type="cellIs" priority="3" operator="between" dxfId="2">
      <formula>$N$9</formula>
      <formula>$N$8</formula>
    </cfRule>
  </conditionalFormatting>
  <conditionalFormatting sqref="J4:J17">
    <cfRule type="cellIs" priority="4" operator="greaterThan" dxfId="0">
      <formula>0.3</formula>
    </cfRule>
  </conditionalFormatting>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O122"/>
  <sheetViews>
    <sheetView workbookViewId="0">
      <pane xSplit="4" ySplit="2" topLeftCell="E3" activePane="bottomRight" state="frozen"/>
      <selection pane="topRight"/>
      <selection pane="bottomLeft"/>
      <selection pane="bottomRight" activeCell="A1" sqref="A1"/>
    </sheetView>
  </sheetViews>
  <sheetFormatPr baseColWidth="8" defaultRowHeight="15"/>
  <cols>
    <col width="8" customWidth="1" min="1" max="1"/>
    <col width="9" customWidth="1" min="2" max="2"/>
    <col width="6" customWidth="1" min="3" max="3"/>
    <col width="14" customWidth="1" min="4" max="4"/>
    <col width="9" customWidth="1" min="5" max="5"/>
    <col width="9" customWidth="1" min="6" max="6"/>
    <col width="12" customWidth="1" min="7" max="7"/>
    <col width="12" customWidth="1" min="8" max="8"/>
    <col width="16" customWidth="1" min="9" max="9"/>
    <col width="13" customWidth="1" min="10" max="10"/>
    <col width="16" customWidth="1" min="11" max="11"/>
    <col width="16" customWidth="1" min="12" max="12"/>
    <col width="10" customWidth="1" min="13" max="13"/>
    <col width="16" customWidth="1" min="14" max="14"/>
    <col width="30" customWidth="1" min="15" max="15"/>
  </cols>
  <sheetData>
    <row r="1" ht="30" customHeight="1">
      <c r="A1" s="4" t="inlineStr">
        <is>
          <t>装置</t>
        </is>
      </c>
      <c r="B1" s="4" t="inlineStr">
        <is>
          <t>路线（0=基础）</t>
        </is>
      </c>
      <c r="C1" s="4" t="inlineStr">
        <is>
          <t>等级</t>
        </is>
      </c>
      <c r="D1" s="4" t="inlineStr">
        <is>
          <t>名称</t>
        </is>
      </c>
      <c r="E1" s="4" t="inlineStr">
        <is>
          <t>本级价格</t>
        </is>
      </c>
      <c r="F1" s="4" t="inlineStr">
        <is>
          <t>累计花费</t>
        </is>
      </c>
      <c r="G1" s="4" t="inlineStr">
        <is>
          <t>估算输出（HP/秒）</t>
        </is>
      </c>
      <c r="H1" s="4" t="inlineStr">
        <is>
          <t>每 100 GST 输出</t>
        </is>
      </c>
      <c r="I1" s="4" t="inlineStr">
        <is>
          <t>比同价多买基础塔（估算）</t>
        </is>
      </c>
      <c r="J1" s="4" t="inlineStr">
        <is>
          <t>本级边际性价比</t>
        </is>
      </c>
      <c r="K1" s="4" t="inlineStr">
        <is>
          <t>实测：本配置清除体力比例</t>
        </is>
      </c>
      <c r="L1" s="4" t="inlineStr">
        <is>
          <t>实测：同价基础塔清除比例</t>
        </is>
      </c>
      <c r="M1" s="4" t="inlineStr">
        <is>
          <t>实测比值</t>
        </is>
      </c>
      <c r="N1" s="4" t="inlineStr">
        <is>
          <t>功能型效果</t>
        </is>
      </c>
      <c r="O1" s="4" t="inlineStr">
        <is>
          <t>结论</t>
        </is>
      </c>
    </row>
    <row r="2">
      <c r="A2" s="5" t="inlineStr"/>
      <c r="B2" s="5" t="inlineStr"/>
      <c r="C2" s="5" t="inlineStr"/>
      <c r="D2" s="5" t="inlineStr"/>
      <c r="E2" s="5" t="inlineStr"/>
      <c r="F2" s="5" t="inlineStr"/>
      <c r="G2" s="5" t="inlineStr"/>
      <c r="H2" s="5" t="inlineStr"/>
      <c r="I2" s="5" t="inlineStr"/>
      <c r="J2" s="5" t="inlineStr"/>
      <c r="K2" s="5" t="inlineStr"/>
      <c r="L2" s="5" t="inlineStr"/>
      <c r="M2" s="5" t="inlineStr"/>
      <c r="N2" s="5" t="inlineStr"/>
      <c r="O2" s="5" t="inlineStr"/>
    </row>
    <row r="3">
      <c r="A3" s="9" t="inlineStr">
        <is>
          <t>dart</t>
        </is>
      </c>
      <c r="B3" s="9" t="n">
        <v>0</v>
      </c>
      <c r="C3" s="9" t="n">
        <v>0</v>
      </c>
      <c r="D3" s="9" t="inlineStr">
        <is>
          <t>基础</t>
        </is>
      </c>
      <c r="E3" s="9" t="n">
        <v>100</v>
      </c>
      <c r="F3" s="9" t="n">
        <v>100</v>
      </c>
      <c r="G3" s="9" t="n">
        <v>2.24</v>
      </c>
      <c r="H3" s="14">
        <f>G3/F3*100</f>
        <v/>
      </c>
      <c r="I3" s="14">
        <f>IFERROR((G3/F3)/(SUMIFS($G$3:$G$116,$A$3:$A$116,A3,$B$3:$B$116,0)/SUMIFS($F$3:$F$116,$A$3:$A$116,A3,$B$3:$B$116,0)),"")</f>
        <v/>
      </c>
      <c r="J3" s="14">
        <f>IFERROR(IF(B3=0,1,IF(C3&lt;=1,G3-SUMIFS($G$3:$G$116,$A$3:$A$116,A3,$B$3:$B$116,0),G3-G2)/E3/(SUMIFS($G$3:$G$116,$A$3:$A$116,A3,$B$3:$B$116,0)/SUMIFS($F$3:$F$116,$A$3:$A$116,A3,$B$3:$B$116,0))),"")</f>
        <v/>
      </c>
      <c r="K3" s="9" t="n"/>
      <c r="L3" s="9" t="n"/>
      <c r="M3" s="14">
        <f>IF(OR(K3="",L3="",L3=0),"",K3/L3)</f>
        <v/>
      </c>
      <c r="N3" s="9" t="inlineStr"/>
      <c r="O3" s="9">
        <f>IF(B3=0,"基准",IF(C3=6,"6 级专精：空位用完后的出路，看后期实测，不和多放基础塔比",IF(AND(N3&lt;&gt;"",I3&lt;0.85),"功能型：单看输出偏低属正常",IF(I3&gt;=0.85,"划算",IF(I3&gt;=0.65,"略亏：空位紧张时仍值得","偏亏：建议降价或加强")))))</f>
        <v/>
      </c>
    </row>
    <row r="4">
      <c r="A4" s="9" t="inlineStr">
        <is>
          <t>dart</t>
        </is>
      </c>
      <c r="B4" s="9" t="n">
        <v>1</v>
      </c>
      <c r="C4" s="9" t="n">
        <v>1</v>
      </c>
      <c r="D4" s="9" t="inlineStr">
        <is>
          <t>加料汽水罐</t>
        </is>
      </c>
      <c r="E4" s="9" t="n">
        <v>60</v>
      </c>
      <c r="F4" s="9" t="n">
        <v>160</v>
      </c>
      <c r="G4" s="9" t="n">
        <v>4.48</v>
      </c>
      <c r="H4" s="14">
        <f>G4/F4*100</f>
        <v/>
      </c>
      <c r="I4" s="14">
        <f>IFERROR((G4/F4)/(SUMIFS($G$3:$G$116,$A$3:$A$116,A4,$B$3:$B$116,0)/SUMIFS($F$3:$F$116,$A$3:$A$116,A4,$B$3:$B$116,0)),"")</f>
        <v/>
      </c>
      <c r="J4" s="14">
        <f>IFERROR(IF(B4=0,1,IF(C4&lt;=1,G4-SUMIFS($G$3:$G$116,$A$3:$A$116,A4,$B$3:$B$116,0),G4-G3)/E4/(SUMIFS($G$3:$G$116,$A$3:$A$116,A4,$B$3:$B$116,0)/SUMIFS($F$3:$F$116,$A$3:$A$116,A4,$B$3:$B$116,0))),"")</f>
        <v/>
      </c>
      <c r="K4" s="9" t="n">
        <v>0.419</v>
      </c>
      <c r="L4" s="9" t="n">
        <v>0.337</v>
      </c>
      <c r="M4" s="14">
        <f>IF(OR(K4="",L4="",L4=0),"",K4/L4)</f>
        <v/>
      </c>
      <c r="N4" s="9" t="inlineStr"/>
      <c r="O4" s="9">
        <f>IF(B4=0,"基准",IF(C4=6,"6 级专精：空位用完后的出路，看后期实测，不和多放基础塔比",IF(AND(N4&lt;&gt;"",I4&lt;0.85),"功能型：单看输出偏低属正常",IF(I4&gt;=0.85,"划算",IF(I4&gt;=0.65,"略亏：空位紧张时仍值得","偏亏：建议降价或加强")))))</f>
        <v/>
      </c>
    </row>
    <row r="5">
      <c r="A5" s="9" t="inlineStr">
        <is>
          <t>dart</t>
        </is>
      </c>
      <c r="B5" s="9" t="n">
        <v>1</v>
      </c>
      <c r="C5" s="9" t="n">
        <v>2</v>
      </c>
      <c r="D5" s="9" t="inlineStr">
        <is>
          <t>铁皮罐</t>
        </is>
      </c>
      <c r="E5" s="9" t="n">
        <v>110</v>
      </c>
      <c r="F5" s="9" t="n">
        <v>270</v>
      </c>
      <c r="G5" s="9" t="n">
        <v>4.48</v>
      </c>
      <c r="H5" s="14">
        <f>G5/F5*100</f>
        <v/>
      </c>
      <c r="I5" s="14">
        <f>IFERROR((G5/F5)/(SUMIFS($G$3:$G$116,$A$3:$A$116,A5,$B$3:$B$116,0)/SUMIFS($F$3:$F$116,$A$3:$A$116,A5,$B$3:$B$116,0)),"")</f>
        <v/>
      </c>
      <c r="J5" s="14">
        <f>IFERROR(IF(B5=0,1,IF(C5&lt;=1,G5-SUMIFS($G$3:$G$116,$A$3:$A$116,A5,$B$3:$B$116,0),G5-G4)/E5/(SUMIFS($G$3:$G$116,$A$3:$A$116,A5,$B$3:$B$116,0)/SUMIFS($F$3:$F$116,$A$3:$A$116,A5,$B$3:$B$116,0))),"")</f>
        <v/>
      </c>
      <c r="K5" s="9" t="n">
        <v>0.468</v>
      </c>
      <c r="L5" s="9" t="n">
        <v>0.5570000000000001</v>
      </c>
      <c r="M5" s="14">
        <f>IF(OR(K5="",L5="",L5=0),"",K5/L5)</f>
        <v/>
      </c>
      <c r="N5" s="9" t="inlineStr">
        <is>
          <t>对重型、破甲</t>
        </is>
      </c>
      <c r="O5" s="9">
        <f>IF(B5=0,"基准",IF(C5=6,"6 级专精：空位用完后的出路，看后期实测，不和多放基础塔比",IF(AND(N5&lt;&gt;"",I5&lt;0.85),"功能型：单看输出偏低属正常",IF(I5&gt;=0.85,"划算",IF(I5&gt;=0.65,"略亏：空位紧张时仍值得","偏亏：建议降价或加强")))))</f>
        <v/>
      </c>
    </row>
    <row r="6">
      <c r="A6" s="9" t="inlineStr">
        <is>
          <t>dart</t>
        </is>
      </c>
      <c r="B6" s="9" t="n">
        <v>1</v>
      </c>
      <c r="C6" s="9" t="n">
        <v>3</v>
      </c>
      <c r="D6" s="9" t="inlineStr">
        <is>
          <t>蓄力重罐</t>
        </is>
      </c>
      <c r="E6" s="9" t="n">
        <v>260</v>
      </c>
      <c r="F6" s="9" t="n">
        <v>530</v>
      </c>
      <c r="G6" s="9" t="n">
        <v>9.33</v>
      </c>
      <c r="H6" s="14">
        <f>G6/F6*100</f>
        <v/>
      </c>
      <c r="I6" s="14">
        <f>IFERROR((G6/F6)/(SUMIFS($G$3:$G$116,$A$3:$A$116,A6,$B$3:$B$116,0)/SUMIFS($F$3:$F$116,$A$3:$A$116,A6,$B$3:$B$116,0)),"")</f>
        <v/>
      </c>
      <c r="J6" s="14">
        <f>IFERROR(IF(B6=0,1,IF(C6&lt;=1,G6-SUMIFS($G$3:$G$116,$A$3:$A$116,A6,$B$3:$B$116,0),G6-G5)/E6/(SUMIFS($G$3:$G$116,$A$3:$A$116,A6,$B$3:$B$116,0)/SUMIFS($F$3:$F$116,$A$3:$A$116,A6,$B$3:$B$116,0))),"")</f>
        <v/>
      </c>
      <c r="K6" s="9" t="n">
        <v>0.778</v>
      </c>
      <c r="L6" s="9" t="n">
        <v>0.793</v>
      </c>
      <c r="M6" s="14">
        <f>IF(OR(K6="",L6="",L6=0),"",K6/L6)</f>
        <v/>
      </c>
      <c r="N6" s="9" t="inlineStr"/>
      <c r="O6" s="9">
        <f>IF(B6=0,"基准",IF(C6=6,"6 级专精：空位用完后的出路，看后期实测，不和多放基础塔比",IF(AND(N6&lt;&gt;"",I6&lt;0.85),"功能型：单看输出偏低属正常",IF(I6&gt;=0.85,"划算",IF(I6&gt;=0.65,"略亏：空位紧张时仍值得","偏亏：建议降价或加强")))))</f>
        <v/>
      </c>
    </row>
    <row r="7">
      <c r="A7" s="9" t="inlineStr">
        <is>
          <t>dart</t>
        </is>
      </c>
      <c r="B7" s="9" t="n">
        <v>1</v>
      </c>
      <c r="C7" s="9" t="n">
        <v>4</v>
      </c>
      <c r="D7" s="9" t="inlineStr">
        <is>
          <t>破防重罐</t>
        </is>
      </c>
      <c r="E7" s="9" t="n">
        <v>450</v>
      </c>
      <c r="F7" s="9" t="n">
        <v>980</v>
      </c>
      <c r="G7" s="9" t="n">
        <v>9.33</v>
      </c>
      <c r="H7" s="14">
        <f>G7/F7*100</f>
        <v/>
      </c>
      <c r="I7" s="14">
        <f>IFERROR((G7/F7)/(SUMIFS($G$3:$G$116,$A$3:$A$116,A7,$B$3:$B$116,0)/SUMIFS($F$3:$F$116,$A$3:$A$116,A7,$B$3:$B$116,0)),"")</f>
        <v/>
      </c>
      <c r="J7" s="14">
        <f>IFERROR(IF(B7=0,1,IF(C7&lt;=1,G7-SUMIFS($G$3:$G$116,$A$3:$A$116,A7,$B$3:$B$116,0),G7-G6)/E7/(SUMIFS($G$3:$G$116,$A$3:$A$116,A7,$B$3:$B$116,0)/SUMIFS($F$3:$F$116,$A$3:$A$116,A7,$B$3:$B$116,0))),"")</f>
        <v/>
      </c>
      <c r="K7" s="9" t="n">
        <v>0.831</v>
      </c>
      <c r="L7" s="9" t="n">
        <v>1</v>
      </c>
      <c r="M7" s="14">
        <f>IF(OR(K7="",L7="",L7=0),"",K7/L7)</f>
        <v/>
      </c>
      <c r="N7" s="9" t="inlineStr">
        <is>
          <t>破甲、破盾</t>
        </is>
      </c>
      <c r="O7" s="9">
        <f>IF(B7=0,"基准",IF(C7=6,"6 级专精：空位用完后的出路，看后期实测，不和多放基础塔比",IF(AND(N7&lt;&gt;"",I7&lt;0.85),"功能型：单看输出偏低属正常",IF(I7&gt;=0.85,"划算",IF(I7&gt;=0.65,"略亏：空位紧张时仍值得","偏亏：建议降价或加强")))))</f>
        <v/>
      </c>
    </row>
    <row r="8">
      <c r="A8" s="9" t="inlineStr">
        <is>
          <t>dart</t>
        </is>
      </c>
      <c r="B8" s="9" t="n">
        <v>1</v>
      </c>
      <c r="C8" s="9" t="n">
        <v>5</v>
      </c>
      <c r="D8" s="9" t="inlineStr">
        <is>
          <t>点杀专家</t>
        </is>
      </c>
      <c r="E8" s="9" t="n">
        <v>1100</v>
      </c>
      <c r="F8" s="9" t="n">
        <v>2080</v>
      </c>
      <c r="G8" s="9" t="n">
        <v>9.33</v>
      </c>
      <c r="H8" s="14">
        <f>G8/F8*100</f>
        <v/>
      </c>
      <c r="I8" s="14">
        <f>IFERROR((G8/F8)/(SUMIFS($G$3:$G$116,$A$3:$A$116,A8,$B$3:$B$116,0)/SUMIFS($F$3:$F$116,$A$3:$A$116,A8,$B$3:$B$116,0)),"")</f>
        <v/>
      </c>
      <c r="J8" s="14">
        <f>IFERROR(IF(B8=0,1,IF(C8&lt;=1,G8-SUMIFS($G$3:$G$116,$A$3:$A$116,A8,$B$3:$B$116,0),G8-G7)/E8/(SUMIFS($G$3:$G$116,$A$3:$A$116,A8,$B$3:$B$116,0)/SUMIFS($F$3:$F$116,$A$3:$A$116,A8,$B$3:$B$116,0))),"")</f>
        <v/>
      </c>
      <c r="K8" s="9" t="n"/>
      <c r="L8" s="9" t="n"/>
      <c r="M8" s="14">
        <f>IF(OR(K8="",L8="",L8=0),"",K8/L8)</f>
        <v/>
      </c>
      <c r="N8" s="9" t="inlineStr">
        <is>
          <t>优先重型、对重型</t>
        </is>
      </c>
      <c r="O8" s="9">
        <f>IF(B8=0,"基准",IF(C8=6,"6 级专精：空位用完后的出路，看后期实测，不和多放基础塔比",IF(AND(N8&lt;&gt;"",I8&lt;0.85),"功能型：单看输出偏低属正常",IF(I8&gt;=0.85,"划算",IF(I8&gt;=0.65,"略亏：空位紧张时仍值得","偏亏：建议降价或加强")))))</f>
        <v/>
      </c>
    </row>
    <row r="9">
      <c r="A9" s="9" t="inlineStr">
        <is>
          <t>dart</t>
        </is>
      </c>
      <c r="B9" s="9" t="n">
        <v>1</v>
      </c>
      <c r="C9" s="9" t="n">
        <v>6</v>
      </c>
      <c r="D9" s="9" t="inlineStr">
        <is>
          <t>巨罐裁判</t>
        </is>
      </c>
      <c r="E9" s="9" t="n">
        <v>3600</v>
      </c>
      <c r="F9" s="9" t="n">
        <v>5680</v>
      </c>
      <c r="G9" s="9" t="n">
        <v>40.83</v>
      </c>
      <c r="H9" s="14">
        <f>G9/F9*100</f>
        <v/>
      </c>
      <c r="I9" s="14">
        <f>IFERROR((G9/F9)/(SUMIFS($G$3:$G$116,$A$3:$A$116,A9,$B$3:$B$116,0)/SUMIFS($F$3:$F$116,$A$3:$A$116,A9,$B$3:$B$116,0)),"")</f>
        <v/>
      </c>
      <c r="J9" s="14">
        <f>IFERROR(IF(B9=0,1,IF(C9&lt;=1,G9-SUMIFS($G$3:$G$116,$A$3:$A$116,A9,$B$3:$B$116,0),G9-G8)/E9/(SUMIFS($G$3:$G$116,$A$3:$A$116,A9,$B$3:$B$116,0)/SUMIFS($F$3:$F$116,$A$3:$A$116,A9,$B$3:$B$116,0))),"")</f>
        <v/>
      </c>
      <c r="K9" s="9" t="n"/>
      <c r="L9" s="9" t="n"/>
      <c r="M9" s="14">
        <f>IF(OR(K9="",L9="",L9=0),"",K9/L9)</f>
        <v/>
      </c>
      <c r="N9" s="9" t="inlineStr"/>
      <c r="O9" s="9">
        <f>IF(B9=0,"基准",IF(C9=6,"6 级专精：空位用完后的出路，看后期实测，不和多放基础塔比",IF(AND(N9&lt;&gt;"",I9&lt;0.85),"功能型：单看输出偏低属正常",IF(I9&gt;=0.85,"划算",IF(I9&gt;=0.65,"略亏：空位紧张时仍值得","偏亏：建议降价或加强")))))</f>
        <v/>
      </c>
    </row>
    <row r="10">
      <c r="A10" s="9" t="inlineStr">
        <is>
          <t>dart</t>
        </is>
      </c>
      <c r="B10" s="9" t="n">
        <v>2</v>
      </c>
      <c r="C10" s="9" t="n">
        <v>1</v>
      </c>
      <c r="D10" s="9" t="inlineStr">
        <is>
          <t>快手</t>
        </is>
      </c>
      <c r="E10" s="9" t="n">
        <v>45</v>
      </c>
      <c r="F10" s="9" t="n">
        <v>145</v>
      </c>
      <c r="G10" s="9" t="n">
        <v>2.99</v>
      </c>
      <c r="H10" s="14">
        <f>G10/F10*100</f>
        <v/>
      </c>
      <c r="I10" s="14">
        <f>IFERROR((G10/F10)/(SUMIFS($G$3:$G$116,$A$3:$A$116,A10,$B$3:$B$116,0)/SUMIFS($F$3:$F$116,$A$3:$A$116,A10,$B$3:$B$116,0)),"")</f>
        <v/>
      </c>
      <c r="J10" s="14">
        <f>IFERROR(IF(B10=0,1,IF(C10&lt;=1,G10-SUMIFS($G$3:$G$116,$A$3:$A$116,A10,$B$3:$B$116,0),G10-G9)/E10/(SUMIFS($G$3:$G$116,$A$3:$A$116,A10,$B$3:$B$116,0)/SUMIFS($F$3:$F$116,$A$3:$A$116,A10,$B$3:$B$116,0))),"")</f>
        <v/>
      </c>
      <c r="K10" s="9" t="n">
        <v>0.267</v>
      </c>
      <c r="L10" s="9" t="n">
        <v>0.299</v>
      </c>
      <c r="M10" s="14">
        <f>IF(OR(K10="",L10="",L10=0),"",K10/L10)</f>
        <v/>
      </c>
      <c r="N10" s="9" t="inlineStr"/>
      <c r="O10" s="9">
        <f>IF(B10=0,"基准",IF(C10=6,"6 级专精：空位用完后的出路，看后期实测，不和多放基础塔比",IF(AND(N10&lt;&gt;"",I10&lt;0.85),"功能型：单看输出偏低属正常",IF(I10&gt;=0.85,"划算",IF(I10&gt;=0.65,"略亏：空位紧张时仍值得","偏亏：建议降价或加强")))))</f>
        <v/>
      </c>
    </row>
    <row r="11">
      <c r="A11" s="9" t="inlineStr">
        <is>
          <t>dart</t>
        </is>
      </c>
      <c r="B11" s="9" t="n">
        <v>2</v>
      </c>
      <c r="C11" s="9" t="n">
        <v>2</v>
      </c>
      <c r="D11" s="9" t="inlineStr">
        <is>
          <t>连击</t>
        </is>
      </c>
      <c r="E11" s="9" t="n">
        <v>70</v>
      </c>
      <c r="F11" s="9" t="n">
        <v>215</v>
      </c>
      <c r="G11" s="9" t="n">
        <v>3.66</v>
      </c>
      <c r="H11" s="14">
        <f>G11/F11*100</f>
        <v/>
      </c>
      <c r="I11" s="14">
        <f>IFERROR((G11/F11)/(SUMIFS($G$3:$G$116,$A$3:$A$116,A11,$B$3:$B$116,0)/SUMIFS($F$3:$F$116,$A$3:$A$116,A11,$B$3:$B$116,0)),"")</f>
        <v/>
      </c>
      <c r="J11" s="14">
        <f>IFERROR(IF(B11=0,1,IF(C11&lt;=1,G11-SUMIFS($G$3:$G$116,$A$3:$A$116,A11,$B$3:$B$116,0),G11-G10)/E11/(SUMIFS($G$3:$G$116,$A$3:$A$116,A11,$B$3:$B$116,0)/SUMIFS($F$3:$F$116,$A$3:$A$116,A11,$B$3:$B$116,0))),"")</f>
        <v/>
      </c>
      <c r="K11" s="9" t="n">
        <v>0.31</v>
      </c>
      <c r="L11" s="9" t="n">
        <v>0.464</v>
      </c>
      <c r="M11" s="14">
        <f>IF(OR(K11="",L11="",L11=0),"",K11/L11)</f>
        <v/>
      </c>
      <c r="N11" s="9" t="inlineStr"/>
      <c r="O11" s="9">
        <f>IF(B11=0,"基准",IF(C11=6,"6 级专精：空位用完后的出路，看后期实测，不和多放基础塔比",IF(AND(N11&lt;&gt;"",I11&lt;0.85),"功能型：单看输出偏低属正常",IF(I11&gt;=0.85,"划算",IF(I11&gt;=0.65,"略亏：空位紧张时仍值得","偏亏：建议降价或加强")))))</f>
        <v/>
      </c>
    </row>
    <row r="12">
      <c r="A12" s="9" t="inlineStr">
        <is>
          <t>dart</t>
        </is>
      </c>
      <c r="B12" s="9" t="n">
        <v>2</v>
      </c>
      <c r="C12" s="9" t="n">
        <v>3</v>
      </c>
      <c r="D12" s="9" t="inlineStr">
        <is>
          <t>连续追投</t>
        </is>
      </c>
      <c r="E12" s="9" t="n">
        <v>200</v>
      </c>
      <c r="F12" s="9" t="n">
        <v>415</v>
      </c>
      <c r="G12" s="9" t="n">
        <v>5.48</v>
      </c>
      <c r="H12" s="14">
        <f>G12/F12*100</f>
        <v/>
      </c>
      <c r="I12" s="14">
        <f>IFERROR((G12/F12)/(SUMIFS($G$3:$G$116,$A$3:$A$116,A12,$B$3:$B$116,0)/SUMIFS($F$3:$F$116,$A$3:$A$116,A12,$B$3:$B$116,0)),"")</f>
        <v/>
      </c>
      <c r="J12" s="14">
        <f>IFERROR(IF(B12=0,1,IF(C12&lt;=1,G12-SUMIFS($G$3:$G$116,$A$3:$A$116,A12,$B$3:$B$116,0),G12-G11)/E12/(SUMIFS($G$3:$G$116,$A$3:$A$116,A12,$B$3:$B$116,0)/SUMIFS($F$3:$F$116,$A$3:$A$116,A12,$B$3:$B$116,0))),"")</f>
        <v/>
      </c>
      <c r="K12" s="9" t="n">
        <v>0.378</v>
      </c>
      <c r="L12" s="9" t="n">
        <v>0.73</v>
      </c>
      <c r="M12" s="14">
        <f>IF(OR(K12="",L12="",L12=0),"",K12/L12)</f>
        <v/>
      </c>
      <c r="N12" s="9" t="inlineStr"/>
      <c r="O12" s="9">
        <f>IF(B12=0,"基准",IF(C12=6,"6 级专精：空位用完后的出路，看后期实测，不和多放基础塔比",IF(AND(N12&lt;&gt;"",I12&lt;0.85),"功能型：单看输出偏低属正常",IF(I12&gt;=0.85,"划算",IF(I12&gt;=0.65,"略亏：空位紧张时仍值得","偏亏：建议降价或加强")))))</f>
        <v/>
      </c>
    </row>
    <row r="13">
      <c r="A13" s="9" t="inlineStr">
        <is>
          <t>dart</t>
        </is>
      </c>
      <c r="B13" s="9" t="n">
        <v>2</v>
      </c>
      <c r="C13" s="9" t="n">
        <v>4</v>
      </c>
      <c r="D13" s="9" t="inlineStr">
        <is>
          <t>转火保连击</t>
        </is>
      </c>
      <c r="E13" s="9" t="n">
        <v>420</v>
      </c>
      <c r="F13" s="9" t="n">
        <v>835</v>
      </c>
      <c r="G13" s="9" t="n">
        <v>6.22</v>
      </c>
      <c r="H13" s="14">
        <f>G13/F13*100</f>
        <v/>
      </c>
      <c r="I13" s="14">
        <f>IFERROR((G13/F13)/(SUMIFS($G$3:$G$116,$A$3:$A$116,A13,$B$3:$B$116,0)/SUMIFS($F$3:$F$116,$A$3:$A$116,A13,$B$3:$B$116,0)),"")</f>
        <v/>
      </c>
      <c r="J13" s="14">
        <f>IFERROR(IF(B13=0,1,IF(C13&lt;=1,G13-SUMIFS($G$3:$G$116,$A$3:$A$116,A13,$B$3:$B$116,0),G13-G12)/E13/(SUMIFS($G$3:$G$116,$A$3:$A$116,A13,$B$3:$B$116,0)/SUMIFS($F$3:$F$116,$A$3:$A$116,A13,$B$3:$B$116,0))),"")</f>
        <v/>
      </c>
      <c r="K13" s="9" t="n">
        <v>0.441</v>
      </c>
      <c r="L13" s="9" t="n">
        <v>0.959</v>
      </c>
      <c r="M13" s="14">
        <f>IF(OR(K13="",L13="",L13=0),"",K13/L13)</f>
        <v/>
      </c>
      <c r="N13" s="9" t="inlineStr">
        <is>
          <t>连击</t>
        </is>
      </c>
      <c r="O13" s="9">
        <f>IF(B13=0,"基准",IF(C13=6,"6 级专精：空位用完后的出路，看后期实测，不和多放基础塔比",IF(AND(N13&lt;&gt;"",I13&lt;0.85),"功能型：单看输出偏低属正常",IF(I13&gt;=0.85,"划算",IF(I13&gt;=0.65,"略亏：空位紧张时仍值得","偏亏：建议降价或加强")))))</f>
        <v/>
      </c>
    </row>
    <row r="14">
      <c r="A14" s="9" t="inlineStr">
        <is>
          <t>dart</t>
        </is>
      </c>
      <c r="B14" s="9" t="n">
        <v>2</v>
      </c>
      <c r="C14" s="9" t="n">
        <v>5</v>
      </c>
      <c r="D14" s="9" t="inlineStr">
        <is>
          <t>双臂连投</t>
        </is>
      </c>
      <c r="E14" s="9" t="n">
        <v>1500</v>
      </c>
      <c r="F14" s="9" t="n">
        <v>2335</v>
      </c>
      <c r="G14" s="9" t="n">
        <v>12.44</v>
      </c>
      <c r="H14" s="14">
        <f>G14/F14*100</f>
        <v/>
      </c>
      <c r="I14" s="14">
        <f>IFERROR((G14/F14)/(SUMIFS($G$3:$G$116,$A$3:$A$116,A14,$B$3:$B$116,0)/SUMIFS($F$3:$F$116,$A$3:$A$116,A14,$B$3:$B$116,0)),"")</f>
        <v/>
      </c>
      <c r="J14" s="14">
        <f>IFERROR(IF(B14=0,1,IF(C14&lt;=1,G14-SUMIFS($G$3:$G$116,$A$3:$A$116,A14,$B$3:$B$116,0),G14-G13)/E14/(SUMIFS($G$3:$G$116,$A$3:$A$116,A14,$B$3:$B$116,0)/SUMIFS($F$3:$F$116,$A$3:$A$116,A14,$B$3:$B$116,0))),"")</f>
        <v/>
      </c>
      <c r="K14" s="9" t="n"/>
      <c r="L14" s="9" t="n"/>
      <c r="M14" s="14">
        <f>IF(OR(K14="",L14="",L14=0),"",K14/L14)</f>
        <v/>
      </c>
      <c r="N14" s="9" t="inlineStr"/>
      <c r="O14" s="9">
        <f>IF(B14=0,"基准",IF(C14=6,"6 级专精：空位用完后的出路，看后期实测，不和多放基础塔比",IF(AND(N14&lt;&gt;"",I14&lt;0.85),"功能型：单看输出偏低属正常",IF(I14&gt;=0.85,"划算",IF(I14&gt;=0.65,"略亏：空位紧张时仍值得","偏亏：建议降价或加强")))))</f>
        <v/>
      </c>
    </row>
    <row r="15">
      <c r="A15" s="9" t="inlineStr">
        <is>
          <t>dart</t>
        </is>
      </c>
      <c r="B15" s="9" t="n">
        <v>2</v>
      </c>
      <c r="C15" s="9" t="n">
        <v>6</v>
      </c>
      <c r="D15" s="9" t="inlineStr">
        <is>
          <t>连罐风暴</t>
        </is>
      </c>
      <c r="E15" s="9" t="n">
        <v>3400</v>
      </c>
      <c r="F15" s="9" t="n">
        <v>5735</v>
      </c>
      <c r="G15" s="9" t="n">
        <v>132.74</v>
      </c>
      <c r="H15" s="14">
        <f>G15/F15*100</f>
        <v/>
      </c>
      <c r="I15" s="14">
        <f>IFERROR((G15/F15)/(SUMIFS($G$3:$G$116,$A$3:$A$116,A15,$B$3:$B$116,0)/SUMIFS($F$3:$F$116,$A$3:$A$116,A15,$B$3:$B$116,0)),"")</f>
        <v/>
      </c>
      <c r="J15" s="14">
        <f>IFERROR(IF(B15=0,1,IF(C15&lt;=1,G15-SUMIFS($G$3:$G$116,$A$3:$A$116,A15,$B$3:$B$116,0),G15-G14)/E15/(SUMIFS($G$3:$G$116,$A$3:$A$116,A15,$B$3:$B$116,0)/SUMIFS($F$3:$F$116,$A$3:$A$116,A15,$B$3:$B$116,0))),"")</f>
        <v/>
      </c>
      <c r="K15" s="9" t="n"/>
      <c r="L15" s="9" t="n"/>
      <c r="M15" s="14">
        <f>IF(OR(K15="",L15="",L15=0),"",K15/L15)</f>
        <v/>
      </c>
      <c r="N15" s="9" t="inlineStr"/>
      <c r="O15" s="9">
        <f>IF(B15=0,"基准",IF(C15=6,"6 级专精：空位用完后的出路，看后期实测，不和多放基础塔比",IF(AND(N15&lt;&gt;"",I15&lt;0.85),"功能型：单看输出偏低属正常",IF(I15&gt;=0.85,"划算",IF(I15&gt;=0.65,"略亏：空位紧张时仍值得","偏亏：建议降价或加强")))))</f>
        <v/>
      </c>
    </row>
    <row r="16">
      <c r="A16" s="9" t="inlineStr">
        <is>
          <t>dart</t>
        </is>
      </c>
      <c r="B16" s="9" t="n">
        <v>3</v>
      </c>
      <c r="C16" s="9" t="n">
        <v>1</v>
      </c>
      <c r="D16" s="9" t="inlineStr">
        <is>
          <t>远投</t>
        </is>
      </c>
      <c r="E16" s="9" t="n">
        <v>50</v>
      </c>
      <c r="F16" s="9" t="n">
        <v>150</v>
      </c>
      <c r="G16" s="9" t="n">
        <v>2.24</v>
      </c>
      <c r="H16" s="14">
        <f>G16/F16*100</f>
        <v/>
      </c>
      <c r="I16" s="14">
        <f>IFERROR((G16/F16)/(SUMIFS($G$3:$G$116,$A$3:$A$116,A16,$B$3:$B$116,0)/SUMIFS($F$3:$F$116,$A$3:$A$116,A16,$B$3:$B$116,0)),"")</f>
        <v/>
      </c>
      <c r="J16" s="14">
        <f>IFERROR(IF(B16=0,1,IF(C16&lt;=1,G16-SUMIFS($G$3:$G$116,$A$3:$A$116,A16,$B$3:$B$116,0),G16-G15)/E16/(SUMIFS($G$3:$G$116,$A$3:$A$116,A16,$B$3:$B$116,0)/SUMIFS($F$3:$F$116,$A$3:$A$116,A16,$B$3:$B$116,0))),"")</f>
        <v/>
      </c>
      <c r="K16" s="9" t="n">
        <v>0.238</v>
      </c>
      <c r="L16" s="9" t="n">
        <v>0.312</v>
      </c>
      <c r="M16" s="14">
        <f>IF(OR(K16="",L16="",L16=0),"",K16/L16)</f>
        <v/>
      </c>
      <c r="N16" s="9" t="inlineStr"/>
      <c r="O16" s="9">
        <f>IF(B16=0,"基准",IF(C16=6,"6 级专精：空位用完后的出路，看后期实测，不和多放基础塔比",IF(AND(N16&lt;&gt;"",I16&lt;0.85),"功能型：单看输出偏低属正常",IF(I16&gt;=0.85,"划算",IF(I16&gt;=0.65,"略亏：空位紧张时仍值得","偏亏：建议降价或加强")))))</f>
        <v/>
      </c>
    </row>
    <row r="17">
      <c r="A17" s="9" t="inlineStr">
        <is>
          <t>dart</t>
        </is>
      </c>
      <c r="B17" s="9" t="n">
        <v>3</v>
      </c>
      <c r="C17" s="9" t="n">
        <v>2</v>
      </c>
      <c r="D17" s="9" t="inlineStr">
        <is>
          <t>弱点标记</t>
        </is>
      </c>
      <c r="E17" s="9" t="n">
        <v>100</v>
      </c>
      <c r="F17" s="9" t="n">
        <v>250</v>
      </c>
      <c r="G17" s="9" t="n">
        <v>2.24</v>
      </c>
      <c r="H17" s="14">
        <f>G17/F17*100</f>
        <v/>
      </c>
      <c r="I17" s="14">
        <f>IFERROR((G17/F17)/(SUMIFS($G$3:$G$116,$A$3:$A$116,A17,$B$3:$B$116,0)/SUMIFS($F$3:$F$116,$A$3:$A$116,A17,$B$3:$B$116,0)),"")</f>
        <v/>
      </c>
      <c r="J17" s="14">
        <f>IFERROR(IF(B17=0,1,IF(C17&lt;=1,G17-SUMIFS($G$3:$G$116,$A$3:$A$116,A17,$B$3:$B$116,0),G17-G16)/E17/(SUMIFS($G$3:$G$116,$A$3:$A$116,A17,$B$3:$B$116,0)/SUMIFS($F$3:$F$116,$A$3:$A$116,A17,$B$3:$B$116,0))),"")</f>
        <v/>
      </c>
      <c r="K17" s="9" t="n">
        <v>0.227</v>
      </c>
      <c r="L17" s="9" t="n">
        <v>0.523</v>
      </c>
      <c r="M17" s="14">
        <f>IF(OR(K17="",L17="",L17=0),"",K17/L17)</f>
        <v/>
      </c>
      <c r="N17" s="9" t="inlineStr">
        <is>
          <t>标记、标记增伤</t>
        </is>
      </c>
      <c r="O17" s="9">
        <f>IF(B17=0,"基准",IF(C17=6,"6 级专精：空位用完后的出路，看后期实测，不和多放基础塔比",IF(AND(N17&lt;&gt;"",I17&lt;0.85),"功能型：单看输出偏低属正常",IF(I17&gt;=0.85,"划算",IF(I17&gt;=0.65,"略亏：空位紧张时仍值得","偏亏：建议降价或加强")))))</f>
        <v/>
      </c>
    </row>
    <row r="18">
      <c r="A18" s="9" t="inlineStr">
        <is>
          <t>dart</t>
        </is>
      </c>
      <c r="B18" s="9" t="n">
        <v>3</v>
      </c>
      <c r="C18" s="9" t="n">
        <v>3</v>
      </c>
      <c r="D18" s="9" t="inlineStr">
        <is>
          <t>强化标记</t>
        </is>
      </c>
      <c r="E18" s="9" t="n">
        <v>280</v>
      </c>
      <c r="F18" s="9" t="n">
        <v>530</v>
      </c>
      <c r="G18" s="9" t="n">
        <v>2.24</v>
      </c>
      <c r="H18" s="14">
        <f>G18/F18*100</f>
        <v/>
      </c>
      <c r="I18" s="14">
        <f>IFERROR((G18/F18)/(SUMIFS($G$3:$G$116,$A$3:$A$116,A18,$B$3:$B$116,0)/SUMIFS($F$3:$F$116,$A$3:$A$116,A18,$B$3:$B$116,0)),"")</f>
        <v/>
      </c>
      <c r="J18" s="14">
        <f>IFERROR(IF(B18=0,1,IF(C18&lt;=1,G18-SUMIFS($G$3:$G$116,$A$3:$A$116,A18,$B$3:$B$116,0),G18-G17)/E18/(SUMIFS($G$3:$G$116,$A$3:$A$116,A18,$B$3:$B$116,0)/SUMIFS($F$3:$F$116,$A$3:$A$116,A18,$B$3:$B$116,0))),"")</f>
        <v/>
      </c>
      <c r="K18" s="9" t="n">
        <v>0.203</v>
      </c>
      <c r="L18" s="9" t="n">
        <v>0.793</v>
      </c>
      <c r="M18" s="14">
        <f>IF(OR(K18="",L18="",L18=0),"",K18/L18)</f>
        <v/>
      </c>
      <c r="N18" s="9" t="inlineStr">
        <is>
          <t>标记增伤</t>
        </is>
      </c>
      <c r="O18" s="9">
        <f>IF(B18=0,"基准",IF(C18=6,"6 级专精：空位用完后的出路，看后期实测，不和多放基础塔比",IF(AND(N18&lt;&gt;"",I18&lt;0.85),"功能型：单看输出偏低属正常",IF(I18&gt;=0.85,"划算",IF(I18&gt;=0.65,"略亏：空位紧张时仍值得","偏亏：建议降价或加强")))))</f>
        <v/>
      </c>
    </row>
    <row r="19">
      <c r="A19" s="9" t="inlineStr">
        <is>
          <t>dart</t>
        </is>
      </c>
      <c r="B19" s="9" t="n">
        <v>3</v>
      </c>
      <c r="C19" s="9" t="n">
        <v>4</v>
      </c>
      <c r="D19" s="9" t="inlineStr">
        <is>
          <t>持久标记</t>
        </is>
      </c>
      <c r="E19" s="9" t="n">
        <v>550</v>
      </c>
      <c r="F19" s="9" t="n">
        <v>1080</v>
      </c>
      <c r="G19" s="9" t="n">
        <v>2.24</v>
      </c>
      <c r="H19" s="14">
        <f>G19/F19*100</f>
        <v/>
      </c>
      <c r="I19" s="14">
        <f>IFERROR((G19/F19)/(SUMIFS($G$3:$G$116,$A$3:$A$116,A19,$B$3:$B$116,0)/SUMIFS($F$3:$F$116,$A$3:$A$116,A19,$B$3:$B$116,0)),"")</f>
        <v/>
      </c>
      <c r="J19" s="14">
        <f>IFERROR(IF(B19=0,1,IF(C19&lt;=1,G19-SUMIFS($G$3:$G$116,$A$3:$A$116,A19,$B$3:$B$116,0),G19-G18)/E19/(SUMIFS($G$3:$G$116,$A$3:$A$116,A19,$B$3:$B$116,0)/SUMIFS($F$3:$F$116,$A$3:$A$116,A19,$B$3:$B$116,0))),"")</f>
        <v/>
      </c>
      <c r="K19" s="9" t="n">
        <v>0.244</v>
      </c>
      <c r="L19" s="9" t="n">
        <v>1</v>
      </c>
      <c r="M19" s="14">
        <f>IF(OR(K19="",L19="",L19=0),"",K19/L19)</f>
        <v/>
      </c>
      <c r="N19" s="9" t="inlineStr">
        <is>
          <t>标记</t>
        </is>
      </c>
      <c r="O19" s="9">
        <f>IF(B19=0,"基准",IF(C19=6,"6 级专精：空位用完后的出路，看后期实测，不和多放基础塔比",IF(AND(N19&lt;&gt;"",I19&lt;0.85),"功能型：单看输出偏低属正常",IF(I19&gt;=0.85,"划算",IF(I19&gt;=0.65,"略亏：空位紧张时仍值得","偏亏：建议降价或加强")))))</f>
        <v/>
      </c>
    </row>
    <row r="20">
      <c r="A20" s="9" t="inlineStr">
        <is>
          <t>dart</t>
        </is>
      </c>
      <c r="B20" s="9" t="n">
        <v>3</v>
      </c>
      <c r="C20" s="9" t="n">
        <v>5</v>
      </c>
      <c r="D20" s="9" t="inlineStr">
        <is>
          <t>集火信号</t>
        </is>
      </c>
      <c r="E20" s="9" t="n">
        <v>1200</v>
      </c>
      <c r="F20" s="9" t="n">
        <v>2280</v>
      </c>
      <c r="G20" s="9" t="n">
        <v>2.24</v>
      </c>
      <c r="H20" s="14">
        <f>G20/F20*100</f>
        <v/>
      </c>
      <c r="I20" s="14">
        <f>IFERROR((G20/F20)/(SUMIFS($G$3:$G$116,$A$3:$A$116,A20,$B$3:$B$116,0)/SUMIFS($F$3:$F$116,$A$3:$A$116,A20,$B$3:$B$116,0)),"")</f>
        <v/>
      </c>
      <c r="J20" s="14">
        <f>IFERROR(IF(B20=0,1,IF(C20&lt;=1,G20-SUMIFS($G$3:$G$116,$A$3:$A$116,A20,$B$3:$B$116,0),G20-G19)/E20/(SUMIFS($G$3:$G$116,$A$3:$A$116,A20,$B$3:$B$116,0)/SUMIFS($F$3:$F$116,$A$3:$A$116,A20,$B$3:$B$116,0))),"")</f>
        <v/>
      </c>
      <c r="K20" s="9" t="n"/>
      <c r="L20" s="9" t="n"/>
      <c r="M20" s="14">
        <f>IF(OR(K20="",L20="",L20=0),"",K20/L20)</f>
        <v/>
      </c>
      <c r="N20" s="9" t="inlineStr">
        <is>
          <t>标记增伤、集火</t>
        </is>
      </c>
      <c r="O20" s="9">
        <f>IF(B20=0,"基准",IF(C20=6,"6 级专精：空位用完后的出路，看后期实测，不和多放基础塔比",IF(AND(N20&lt;&gt;"",I20&lt;0.85),"功能型：单看输出偏低属正常",IF(I20&gt;=0.85,"划算",IF(I20&gt;=0.65,"略亏：空位紧张时仍值得","偏亏：建议降价或加强")))))</f>
        <v/>
      </c>
    </row>
    <row r="21">
      <c r="A21" s="9" t="inlineStr">
        <is>
          <t>dart</t>
        </is>
      </c>
      <c r="B21" s="9" t="n">
        <v>3</v>
      </c>
      <c r="C21" s="9" t="n">
        <v>6</v>
      </c>
      <c r="D21" s="9" t="inlineStr">
        <is>
          <t>集火指挥台</t>
        </is>
      </c>
      <c r="E21" s="9" t="n">
        <v>3000</v>
      </c>
      <c r="F21" s="9" t="n">
        <v>5280</v>
      </c>
      <c r="G21" s="9" t="n">
        <v>1.12</v>
      </c>
      <c r="H21" s="14">
        <f>G21/F21*100</f>
        <v/>
      </c>
      <c r="I21" s="14">
        <f>IFERROR((G21/F21)/(SUMIFS($G$3:$G$116,$A$3:$A$116,A21,$B$3:$B$116,0)/SUMIFS($F$3:$F$116,$A$3:$A$116,A21,$B$3:$B$116,0)),"")</f>
        <v/>
      </c>
      <c r="J21" s="14">
        <f>IFERROR(IF(B21=0,1,IF(C21&lt;=1,G21-SUMIFS($G$3:$G$116,$A$3:$A$116,A21,$B$3:$B$116,0),G21-G20)/E21/(SUMIFS($G$3:$G$116,$A$3:$A$116,A21,$B$3:$B$116,0)/SUMIFS($F$3:$F$116,$A$3:$A$116,A21,$B$3:$B$116,0))),"")</f>
        <v/>
      </c>
      <c r="K21" s="9" t="n"/>
      <c r="L21" s="9" t="n"/>
      <c r="M21" s="14">
        <f>IF(OR(K21="",L21="",L21=0),"",K21/L21)</f>
        <v/>
      </c>
      <c r="N21" s="9" t="inlineStr">
        <is>
          <t>标记增伤、集火</t>
        </is>
      </c>
      <c r="O21" s="9">
        <f>IF(B21=0,"基准",IF(C21=6,"6 级专精：空位用完后的出路，看后期实测，不和多放基础塔比",IF(AND(N21&lt;&gt;"",I21&lt;0.85),"功能型：单看输出偏低属正常",IF(I21&gt;=0.85,"划算",IF(I21&gt;=0.65,"略亏：空位紧张时仍值得","偏亏：建议降价或加强")))))</f>
        <v/>
      </c>
    </row>
    <row r="22">
      <c r="A22" s="9" t="inlineStr">
        <is>
          <t>bomb</t>
        </is>
      </c>
      <c r="B22" s="9" t="n">
        <v>0</v>
      </c>
      <c r="C22" s="9" t="n">
        <v>0</v>
      </c>
      <c r="D22" s="9" t="inlineStr">
        <is>
          <t>基础</t>
        </is>
      </c>
      <c r="E22" s="9" t="n">
        <v>160</v>
      </c>
      <c r="F22" s="9" t="n">
        <v>160</v>
      </c>
      <c r="G22" s="9" t="n">
        <v>7.11</v>
      </c>
      <c r="H22" s="14">
        <f>G22/F22*100</f>
        <v/>
      </c>
      <c r="I22" s="14">
        <f>IFERROR((G22/F22)/(SUMIFS($G$3:$G$116,$A$3:$A$116,A22,$B$3:$B$116,0)/SUMIFS($F$3:$F$116,$A$3:$A$116,A22,$B$3:$B$116,0)),"")</f>
        <v/>
      </c>
      <c r="J22" s="14">
        <f>IFERROR(IF(B22=0,1,IF(C22&lt;=1,G22-SUMIFS($G$3:$G$116,$A$3:$A$116,A22,$B$3:$B$116,0),G22-G21)/E22/(SUMIFS($G$3:$G$116,$A$3:$A$116,A22,$B$3:$B$116,0)/SUMIFS($F$3:$F$116,$A$3:$A$116,A22,$B$3:$B$116,0))),"")</f>
        <v/>
      </c>
      <c r="K22" s="9" t="n"/>
      <c r="L22" s="9" t="n"/>
      <c r="M22" s="14">
        <f>IF(OR(K22="",L22="",L22=0),"",K22/L22)</f>
        <v/>
      </c>
      <c r="N22" s="9" t="inlineStr"/>
      <c r="O22" s="9">
        <f>IF(B22=0,"基准",IF(C22=6,"6 级专精：空位用完后的出路，看后期实测，不和多放基础塔比",IF(AND(N22&lt;&gt;"",I22&lt;0.85),"功能型：单看输出偏低属正常",IF(I22&gt;=0.85,"划算",IF(I22&gt;=0.65,"略亏：空位紧张时仍值得","偏亏：建议降价或加强")))))</f>
        <v/>
      </c>
    </row>
    <row r="23">
      <c r="A23" s="9" t="inlineStr">
        <is>
          <t>bomb</t>
        </is>
      </c>
      <c r="B23" s="9" t="n">
        <v>1</v>
      </c>
      <c r="C23" s="9" t="n">
        <v>1</v>
      </c>
      <c r="D23" s="9" t="inlineStr">
        <is>
          <t>大片香蕉皮</t>
        </is>
      </c>
      <c r="E23" s="9" t="n">
        <v>70</v>
      </c>
      <c r="F23" s="9" t="n">
        <v>230</v>
      </c>
      <c r="G23" s="9" t="n">
        <v>8.83</v>
      </c>
      <c r="H23" s="14">
        <f>G23/F23*100</f>
        <v/>
      </c>
      <c r="I23" s="14">
        <f>IFERROR((G23/F23)/(SUMIFS($G$3:$G$116,$A$3:$A$116,A23,$B$3:$B$116,0)/SUMIFS($F$3:$F$116,$A$3:$A$116,A23,$B$3:$B$116,0)),"")</f>
        <v/>
      </c>
      <c r="J23" s="14">
        <f>IFERROR(IF(B23=0,1,IF(C23&lt;=1,G23-SUMIFS($G$3:$G$116,$A$3:$A$116,A23,$B$3:$B$116,0),G23-G22)/E23/(SUMIFS($G$3:$G$116,$A$3:$A$116,A23,$B$3:$B$116,0)/SUMIFS($F$3:$F$116,$A$3:$A$116,A23,$B$3:$B$116,0))),"")</f>
        <v/>
      </c>
      <c r="K23" s="9" t="n">
        <v>0.424</v>
      </c>
      <c r="L23" s="9" t="n">
        <v>0.529</v>
      </c>
      <c r="M23" s="14">
        <f>IF(OR(K23="",L23="",L23=0),"",K23/L23)</f>
        <v/>
      </c>
      <c r="N23" s="9" t="inlineStr"/>
      <c r="O23" s="9">
        <f>IF(B23=0,"基准",IF(C23=6,"6 级专精：空位用完后的出路，看后期实测，不和多放基础塔比",IF(AND(N23&lt;&gt;"",I23&lt;0.85),"功能型：单看输出偏低属正常",IF(I23&gt;=0.85,"划算",IF(I23&gt;=0.65,"略亏：空位紧张时仍值得","偏亏：建议降价或加强")))))</f>
        <v/>
      </c>
    </row>
    <row r="24">
      <c r="A24" s="9" t="inlineStr">
        <is>
          <t>bomb</t>
        </is>
      </c>
      <c r="B24" s="9" t="n">
        <v>1</v>
      </c>
      <c r="C24" s="9" t="n">
        <v>2</v>
      </c>
      <c r="D24" s="9" t="inlineStr">
        <is>
          <t>多人滑倒</t>
        </is>
      </c>
      <c r="E24" s="9" t="n">
        <v>100</v>
      </c>
      <c r="F24" s="9" t="n">
        <v>330</v>
      </c>
      <c r="G24" s="9" t="n">
        <v>8.83</v>
      </c>
      <c r="H24" s="14">
        <f>G24/F24*100</f>
        <v/>
      </c>
      <c r="I24" s="14">
        <f>IFERROR((G24/F24)/(SUMIFS($G$3:$G$116,$A$3:$A$116,A24,$B$3:$B$116,0)/SUMIFS($F$3:$F$116,$A$3:$A$116,A24,$B$3:$B$116,0)),"")</f>
        <v/>
      </c>
      <c r="J24" s="14">
        <f>IFERROR(IF(B24=0,1,IF(C24&lt;=1,G24-SUMIFS($G$3:$G$116,$A$3:$A$116,A24,$B$3:$B$116,0),G24-G23)/E24/(SUMIFS($G$3:$G$116,$A$3:$A$116,A24,$B$3:$B$116,0)/SUMIFS($F$3:$F$116,$A$3:$A$116,A24,$B$3:$B$116,0))),"")</f>
        <v/>
      </c>
      <c r="K24" s="9" t="n">
        <v>0.444</v>
      </c>
      <c r="L24" s="9" t="n">
        <v>0.742</v>
      </c>
      <c r="M24" s="14">
        <f>IF(OR(K24="",L24="",L24=0),"",K24/L24)</f>
        <v/>
      </c>
      <c r="N24" s="9" t="inlineStr"/>
      <c r="O24" s="9">
        <f>IF(B24=0,"基准",IF(C24=6,"6 级专精：空位用完后的出路，看后期实测，不和多放基础塔比",IF(AND(N24&lt;&gt;"",I24&lt;0.85),"功能型：单看输出偏低属正常",IF(I24&gt;=0.85,"划算",IF(I24&gt;=0.65,"略亏：空位紧张时仍值得","偏亏：建议降价或加强")))))</f>
        <v/>
      </c>
    </row>
    <row r="25">
      <c r="A25" s="9" t="inlineStr">
        <is>
          <t>bomb</t>
        </is>
      </c>
      <c r="B25" s="9" t="n">
        <v>1</v>
      </c>
      <c r="C25" s="9" t="n">
        <v>3</v>
      </c>
      <c r="D25" s="9" t="inlineStr">
        <is>
          <t>成片撒皮</t>
        </is>
      </c>
      <c r="E25" s="9" t="n">
        <v>300</v>
      </c>
      <c r="F25" s="9" t="n">
        <v>630</v>
      </c>
      <c r="G25" s="9" t="n">
        <v>26.49</v>
      </c>
      <c r="H25" s="14">
        <f>G25/F25*100</f>
        <v/>
      </c>
      <c r="I25" s="14">
        <f>IFERROR((G25/F25)/(SUMIFS($G$3:$G$116,$A$3:$A$116,A25,$B$3:$B$116,0)/SUMIFS($F$3:$F$116,$A$3:$A$116,A25,$B$3:$B$116,0)),"")</f>
        <v/>
      </c>
      <c r="J25" s="14">
        <f>IFERROR(IF(B25=0,1,IF(C25&lt;=1,G25-SUMIFS($G$3:$G$116,$A$3:$A$116,A25,$B$3:$B$116,0),G25-G24)/E25/(SUMIFS($G$3:$G$116,$A$3:$A$116,A25,$B$3:$B$116,0)/SUMIFS($F$3:$F$116,$A$3:$A$116,A25,$B$3:$B$116,0))),"")</f>
        <v/>
      </c>
      <c r="K25" s="9" t="n">
        <v>0.988</v>
      </c>
      <c r="L25" s="9" t="n">
        <v>0.997</v>
      </c>
      <c r="M25" s="14">
        <f>IF(OR(K25="",L25="",L25=0),"",K25/L25)</f>
        <v/>
      </c>
      <c r="N25" s="9" t="inlineStr">
        <is>
          <t>布阵</t>
        </is>
      </c>
      <c r="O25" s="9">
        <f>IF(B25=0,"基准",IF(C25=6,"6 级专精：空位用完后的出路，看后期实测，不和多放基础塔比",IF(AND(N25&lt;&gt;"",I25&lt;0.85),"功能型：单看输出偏低属正常",IF(I25&gt;=0.85,"划算",IF(I25&gt;=0.65,"略亏：空位紧张时仍值得","偏亏：建议降价或加强")))))</f>
        <v/>
      </c>
    </row>
    <row r="26">
      <c r="A26" s="9" t="inlineStr">
        <is>
          <t>bomb</t>
        </is>
      </c>
      <c r="B26" s="9" t="n">
        <v>1</v>
      </c>
      <c r="C26" s="9" t="n">
        <v>4</v>
      </c>
      <c r="D26" s="9" t="inlineStr">
        <is>
          <t>扇形覆盖</t>
        </is>
      </c>
      <c r="E26" s="9" t="n">
        <v>650</v>
      </c>
      <c r="F26" s="9" t="n">
        <v>1280</v>
      </c>
      <c r="G26" s="9" t="n">
        <v>31.66</v>
      </c>
      <c r="H26" s="14">
        <f>G26/F26*100</f>
        <v/>
      </c>
      <c r="I26" s="14">
        <f>IFERROR((G26/F26)/(SUMIFS($G$3:$G$116,$A$3:$A$116,A26,$B$3:$B$116,0)/SUMIFS($F$3:$F$116,$A$3:$A$116,A26,$B$3:$B$116,0)),"")</f>
        <v/>
      </c>
      <c r="J26" s="14">
        <f>IFERROR(IF(B26=0,1,IF(C26&lt;=1,G26-SUMIFS($G$3:$G$116,$A$3:$A$116,A26,$B$3:$B$116,0),G26-G25)/E26/(SUMIFS($G$3:$G$116,$A$3:$A$116,A26,$B$3:$B$116,0)/SUMIFS($F$3:$F$116,$A$3:$A$116,A26,$B$3:$B$116,0))),"")</f>
        <v/>
      </c>
      <c r="K26" s="9" t="n">
        <v>1</v>
      </c>
      <c r="L26" s="9" t="n">
        <v>1</v>
      </c>
      <c r="M26" s="14">
        <f>IF(OR(K26="",L26="",L26=0),"",K26/L26)</f>
        <v/>
      </c>
      <c r="N26" s="9" t="inlineStr"/>
      <c r="O26" s="9">
        <f>IF(B26=0,"基准",IF(C26=6,"6 级专精：空位用完后的出路，看后期实测，不和多放基础塔比",IF(AND(N26&lt;&gt;"",I26&lt;0.85),"功能型：单看输出偏低属正常",IF(I26&gt;=0.85,"划算",IF(I26&gt;=0.65,"略亏：空位紧张时仍值得","偏亏：建议降价或加强")))))</f>
        <v/>
      </c>
    </row>
    <row r="27">
      <c r="A27" s="9" t="inlineStr">
        <is>
          <t>bomb</t>
        </is>
      </c>
      <c r="B27" s="9" t="n">
        <v>1</v>
      </c>
      <c r="C27" s="9" t="n">
        <v>5</v>
      </c>
      <c r="D27" s="9" t="inlineStr">
        <is>
          <t>滑倒陷阱区</t>
        </is>
      </c>
      <c r="E27" s="9" t="n">
        <v>1500</v>
      </c>
      <c r="F27" s="9" t="n">
        <v>2780</v>
      </c>
      <c r="G27" s="9" t="n">
        <v>43.29</v>
      </c>
      <c r="H27" s="14">
        <f>G27/F27*100</f>
        <v/>
      </c>
      <c r="I27" s="14">
        <f>IFERROR((G27/F27)/(SUMIFS($G$3:$G$116,$A$3:$A$116,A27,$B$3:$B$116,0)/SUMIFS($F$3:$F$116,$A$3:$A$116,A27,$B$3:$B$116,0)),"")</f>
        <v/>
      </c>
      <c r="J27" s="14">
        <f>IFERROR(IF(B27=0,1,IF(C27&lt;=1,G27-SUMIFS($G$3:$G$116,$A$3:$A$116,A27,$B$3:$B$116,0),G27-G26)/E27/(SUMIFS($G$3:$G$116,$A$3:$A$116,A27,$B$3:$B$116,0)/SUMIFS($F$3:$F$116,$A$3:$A$116,A27,$B$3:$B$116,0))),"")</f>
        <v/>
      </c>
      <c r="K27" s="9" t="n"/>
      <c r="L27" s="9" t="n"/>
      <c r="M27" s="14">
        <f>IF(OR(K27="",L27="",L27=0),"",K27/L27)</f>
        <v/>
      </c>
      <c r="N27" s="9" t="inlineStr"/>
      <c r="O27" s="9">
        <f>IF(B27=0,"基准",IF(C27=6,"6 级专精：空位用完后的出路，看后期实测，不和多放基础塔比",IF(AND(N27&lt;&gt;"",I27&lt;0.85),"功能型：单看输出偏低属正常",IF(I27&gt;=0.85,"划算",IF(I27&gt;=0.65,"略亏：空位紧张时仍值得","偏亏：建议降价或加强")))))</f>
        <v/>
      </c>
    </row>
    <row r="28">
      <c r="A28" s="9" t="inlineStr">
        <is>
          <t>bomb</t>
        </is>
      </c>
      <c r="B28" s="9" t="n">
        <v>1</v>
      </c>
      <c r="C28" s="9" t="n">
        <v>6</v>
      </c>
      <c r="D28" s="9" t="inlineStr">
        <is>
          <t>整道铺皮机</t>
        </is>
      </c>
      <c r="E28" s="9" t="n">
        <v>3800</v>
      </c>
      <c r="F28" s="9" t="n">
        <v>6580</v>
      </c>
      <c r="G28" s="9" t="n">
        <v>133.59</v>
      </c>
      <c r="H28" s="14">
        <f>G28/F28*100</f>
        <v/>
      </c>
      <c r="I28" s="14">
        <f>IFERROR((G28/F28)/(SUMIFS($G$3:$G$116,$A$3:$A$116,A28,$B$3:$B$116,0)/SUMIFS($F$3:$F$116,$A$3:$A$116,A28,$B$3:$B$116,0)),"")</f>
        <v/>
      </c>
      <c r="J28" s="14">
        <f>IFERROR(IF(B28=0,1,IF(C28&lt;=1,G28-SUMIFS($G$3:$G$116,$A$3:$A$116,A28,$B$3:$B$116,0),G28-G27)/E28/(SUMIFS($G$3:$G$116,$A$3:$A$116,A28,$B$3:$B$116,0)/SUMIFS($F$3:$F$116,$A$3:$A$116,A28,$B$3:$B$116,0))),"")</f>
        <v/>
      </c>
      <c r="K28" s="9" t="n"/>
      <c r="L28" s="9" t="n"/>
      <c r="M28" s="14">
        <f>IF(OR(K28="",L28="",L28=0),"",K28/L28)</f>
        <v/>
      </c>
      <c r="N28" s="9" t="inlineStr">
        <is>
          <t>布阵</t>
        </is>
      </c>
      <c r="O28" s="9">
        <f>IF(B28=0,"基准",IF(C28=6,"6 级专精：空位用完后的出路，看后期实测，不和多放基础塔比",IF(AND(N28&lt;&gt;"",I28&lt;0.85),"功能型：单看输出偏低属正常",IF(I28&gt;=0.85,"划算",IF(I28&gt;=0.65,"略亏：空位紧张时仍值得","偏亏：建议降价或加强")))))</f>
        <v/>
      </c>
    </row>
    <row r="29">
      <c r="A29" s="9" t="inlineStr">
        <is>
          <t>bomb</t>
        </is>
      </c>
      <c r="B29" s="9" t="n">
        <v>2</v>
      </c>
      <c r="C29" s="9" t="n">
        <v>1</v>
      </c>
      <c r="D29" s="9" t="inlineStr">
        <is>
          <t>滑更远</t>
        </is>
      </c>
      <c r="E29" s="9" t="n">
        <v>70</v>
      </c>
      <c r="F29" s="9" t="n">
        <v>230</v>
      </c>
      <c r="G29" s="9" t="n">
        <v>7.11</v>
      </c>
      <c r="H29" s="14">
        <f>G29/F29*100</f>
        <v/>
      </c>
      <c r="I29" s="14">
        <f>IFERROR((G29/F29)/(SUMIFS($G$3:$G$116,$A$3:$A$116,A29,$B$3:$B$116,0)/SUMIFS($F$3:$F$116,$A$3:$A$116,A29,$B$3:$B$116,0)),"")</f>
        <v/>
      </c>
      <c r="J29" s="14">
        <f>IFERROR(IF(B29=0,1,IF(C29&lt;=1,G29-SUMIFS($G$3:$G$116,$A$3:$A$116,A29,$B$3:$B$116,0),G29-G28)/E29/(SUMIFS($G$3:$G$116,$A$3:$A$116,A29,$B$3:$B$116,0)/SUMIFS($F$3:$F$116,$A$3:$A$116,A29,$B$3:$B$116,0))),"")</f>
        <v/>
      </c>
      <c r="K29" s="9" t="n">
        <v>0.444</v>
      </c>
      <c r="L29" s="9" t="n">
        <v>0.529</v>
      </c>
      <c r="M29" s="14">
        <f>IF(OR(K29="",L29="",L29=0),"",K29/L29)</f>
        <v/>
      </c>
      <c r="N29" s="9" t="inlineStr">
        <is>
          <t>击退</t>
        </is>
      </c>
      <c r="O29" s="9">
        <f>IF(B29=0,"基准",IF(C29=6,"6 级专精：空位用完后的出路，看后期实测，不和多放基础塔比",IF(AND(N29&lt;&gt;"",I29&lt;0.85),"功能型：单看输出偏低属正常",IF(I29&gt;=0.85,"划算",IF(I29&gt;=0.65,"略亏：空位紧张时仍值得","偏亏：建议降价或加强")))))</f>
        <v/>
      </c>
    </row>
    <row r="30">
      <c r="A30" s="9" t="inlineStr">
        <is>
          <t>bomb</t>
        </is>
      </c>
      <c r="B30" s="9" t="n">
        <v>2</v>
      </c>
      <c r="C30" s="9" t="n">
        <v>2</v>
      </c>
      <c r="D30" s="9" t="inlineStr">
        <is>
          <t>滑行冲击</t>
        </is>
      </c>
      <c r="E30" s="9" t="n">
        <v>120</v>
      </c>
      <c r="F30" s="9" t="n">
        <v>350</v>
      </c>
      <c r="G30" s="9" t="n">
        <v>11.34</v>
      </c>
      <c r="H30" s="14">
        <f>G30/F30*100</f>
        <v/>
      </c>
      <c r="I30" s="14">
        <f>IFERROR((G30/F30)/(SUMIFS($G$3:$G$116,$A$3:$A$116,A30,$B$3:$B$116,0)/SUMIFS($F$3:$F$116,$A$3:$A$116,A30,$B$3:$B$116,0)),"")</f>
        <v/>
      </c>
      <c r="J30" s="14">
        <f>IFERROR(IF(B30=0,1,IF(C30&lt;=1,G30-SUMIFS($G$3:$G$116,$A$3:$A$116,A30,$B$3:$B$116,0),G30-G29)/E30/(SUMIFS($G$3:$G$116,$A$3:$A$116,A30,$B$3:$B$116,0)/SUMIFS($F$3:$F$116,$A$3:$A$116,A30,$B$3:$B$116,0))),"")</f>
        <v/>
      </c>
      <c r="K30" s="9" t="n">
        <v>0.569</v>
      </c>
      <c r="L30" s="9" t="n">
        <v>0.769</v>
      </c>
      <c r="M30" s="14">
        <f>IF(OR(K30="",L30="",L30=0),"",K30/L30)</f>
        <v/>
      </c>
      <c r="N30" s="9" t="inlineStr"/>
      <c r="O30" s="9">
        <f>IF(B30=0,"基准",IF(C30=6,"6 级专精：空位用完后的出路，看后期实测，不和多放基础塔比",IF(AND(N30&lt;&gt;"",I30&lt;0.85),"功能型：单看输出偏低属正常",IF(I30&gt;=0.85,"划算",IF(I30&gt;=0.65,"略亏：空位紧张时仍值得","偏亏：建议降价或加强")))))</f>
        <v/>
      </c>
    </row>
    <row r="31">
      <c r="A31" s="9" t="inlineStr">
        <is>
          <t>bomb</t>
        </is>
      </c>
      <c r="B31" s="9" t="n">
        <v>2</v>
      </c>
      <c r="C31" s="9" t="n">
        <v>3</v>
      </c>
      <c r="D31" s="9" t="inlineStr">
        <is>
          <t>连环相撞</t>
        </is>
      </c>
      <c r="E31" s="9" t="n">
        <v>320</v>
      </c>
      <c r="F31" s="9" t="n">
        <v>670</v>
      </c>
      <c r="G31" s="9" t="n">
        <v>14.67</v>
      </c>
      <c r="H31" s="14">
        <f>G31/F31*100</f>
        <v/>
      </c>
      <c r="I31" s="14">
        <f>IFERROR((G31/F31)/(SUMIFS($G$3:$G$116,$A$3:$A$116,A31,$B$3:$B$116,0)/SUMIFS($F$3:$F$116,$A$3:$A$116,A31,$B$3:$B$116,0)),"")</f>
        <v/>
      </c>
      <c r="J31" s="14">
        <f>IFERROR(IF(B31=0,1,IF(C31&lt;=1,G31-SUMIFS($G$3:$G$116,$A$3:$A$116,A31,$B$3:$B$116,0),G31-G30)/E31/(SUMIFS($G$3:$G$116,$A$3:$A$116,A31,$B$3:$B$116,0)/SUMIFS($F$3:$F$116,$A$3:$A$116,A31,$B$3:$B$116,0))),"")</f>
        <v/>
      </c>
      <c r="K31" s="9" t="n">
        <v>0.701</v>
      </c>
      <c r="L31" s="9" t="n">
        <v>1</v>
      </c>
      <c r="M31" s="14">
        <f>IF(OR(K31="",L31="",L31=0),"",K31/L31)</f>
        <v/>
      </c>
      <c r="N31" s="9" t="inlineStr"/>
      <c r="O31" s="9">
        <f>IF(B31=0,"基准",IF(C31=6,"6 级专精：空位用完后的出路，看后期实测，不和多放基础塔比",IF(AND(N31&lt;&gt;"",I31&lt;0.85),"功能型：单看输出偏低属正常",IF(I31&gt;=0.85,"划算",IF(I31&gt;=0.65,"略亏：空位紧张时仍值得","偏亏：建议降价或加强")))))</f>
        <v/>
      </c>
    </row>
    <row r="32">
      <c r="A32" s="9" t="inlineStr">
        <is>
          <t>bomb</t>
        </is>
      </c>
      <c r="B32" s="9" t="n">
        <v>2</v>
      </c>
      <c r="C32" s="9" t="n">
        <v>4</v>
      </c>
      <c r="D32" s="9" t="inlineStr">
        <is>
          <t>多米诺</t>
        </is>
      </c>
      <c r="E32" s="9" t="n">
        <v>700</v>
      </c>
      <c r="F32" s="9" t="n">
        <v>1370</v>
      </c>
      <c r="G32" s="9" t="n">
        <v>19.67</v>
      </c>
      <c r="H32" s="14">
        <f>G32/F32*100</f>
        <v/>
      </c>
      <c r="I32" s="14">
        <f>IFERROR((G32/F32)/(SUMIFS($G$3:$G$116,$A$3:$A$116,A32,$B$3:$B$116,0)/SUMIFS($F$3:$F$116,$A$3:$A$116,A32,$B$3:$B$116,0)),"")</f>
        <v/>
      </c>
      <c r="J32" s="14">
        <f>IFERROR(IF(B32=0,1,IF(C32&lt;=1,G32-SUMIFS($G$3:$G$116,$A$3:$A$116,A32,$B$3:$B$116,0),G32-G31)/E32/(SUMIFS($G$3:$G$116,$A$3:$A$116,A32,$B$3:$B$116,0)/SUMIFS($F$3:$F$116,$A$3:$A$116,A32,$B$3:$B$116,0))),"")</f>
        <v/>
      </c>
      <c r="K32" s="9" t="n">
        <v>0.78</v>
      </c>
      <c r="L32" s="9" t="n">
        <v>1</v>
      </c>
      <c r="M32" s="14">
        <f>IF(OR(K32="",L32="",L32=0),"",K32/L32)</f>
        <v/>
      </c>
      <c r="N32" s="9" t="inlineStr"/>
      <c r="O32" s="9">
        <f>IF(B32=0,"基准",IF(C32=6,"6 级专精：空位用完后的出路，看后期实测，不和多放基础塔比",IF(AND(N32&lt;&gt;"",I32&lt;0.85),"功能型：单看输出偏低属正常",IF(I32&gt;=0.85,"划算",IF(I32&gt;=0.65,"略亏：空位紧张时仍值得","偏亏：建议降价或加强")))))</f>
        <v/>
      </c>
    </row>
    <row r="33">
      <c r="A33" s="9" t="inlineStr">
        <is>
          <t>bomb</t>
        </is>
      </c>
      <c r="B33" s="9" t="n">
        <v>2</v>
      </c>
      <c r="C33" s="9" t="n">
        <v>5</v>
      </c>
      <c r="D33" s="9" t="inlineStr">
        <is>
          <t>小队连撞</t>
        </is>
      </c>
      <c r="E33" s="9" t="n">
        <v>1500</v>
      </c>
      <c r="F33" s="9" t="n">
        <v>2870</v>
      </c>
      <c r="G33" s="9" t="n">
        <v>21.34</v>
      </c>
      <c r="H33" s="14">
        <f>G33/F33*100</f>
        <v/>
      </c>
      <c r="I33" s="14">
        <f>IFERROR((G33/F33)/(SUMIFS($G$3:$G$116,$A$3:$A$116,A33,$B$3:$B$116,0)/SUMIFS($F$3:$F$116,$A$3:$A$116,A33,$B$3:$B$116,0)),"")</f>
        <v/>
      </c>
      <c r="J33" s="14">
        <f>IFERROR(IF(B33=0,1,IF(C33&lt;=1,G33-SUMIFS($G$3:$G$116,$A$3:$A$116,A33,$B$3:$B$116,0),G33-G32)/E33/(SUMIFS($G$3:$G$116,$A$3:$A$116,A33,$B$3:$B$116,0)/SUMIFS($F$3:$F$116,$A$3:$A$116,A33,$B$3:$B$116,0))),"")</f>
        <v/>
      </c>
      <c r="K33" s="9" t="n"/>
      <c r="L33" s="9" t="n"/>
      <c r="M33" s="14">
        <f>IF(OR(K33="",L33="",L33=0),"",K33/L33)</f>
        <v/>
      </c>
      <c r="N33" s="9" t="inlineStr">
        <is>
          <t>击退</t>
        </is>
      </c>
      <c r="O33" s="9">
        <f>IF(B33=0,"基准",IF(C33=6,"6 级专精：空位用完后的出路，看后期实测，不和多放基础塔比",IF(AND(N33&lt;&gt;"",I33&lt;0.85),"功能型：单看输出偏低属正常",IF(I33&gt;=0.85,"划算",IF(I33&gt;=0.65,"略亏：空位紧张时仍值得","偏亏：建议降价或加强")))))</f>
        <v/>
      </c>
    </row>
    <row r="34">
      <c r="A34" s="9" t="inlineStr">
        <is>
          <t>bomb</t>
        </is>
      </c>
      <c r="B34" s="9" t="n">
        <v>2</v>
      </c>
      <c r="C34" s="9" t="n">
        <v>6</v>
      </c>
      <c r="D34" s="9" t="inlineStr">
        <is>
          <t>滑倒保龄球</t>
        </is>
      </c>
      <c r="E34" s="9" t="n">
        <v>3600</v>
      </c>
      <c r="F34" s="9" t="n">
        <v>6470</v>
      </c>
      <c r="G34" s="9" t="n">
        <v>71.14</v>
      </c>
      <c r="H34" s="14">
        <f>G34/F34*100</f>
        <v/>
      </c>
      <c r="I34" s="14">
        <f>IFERROR((G34/F34)/(SUMIFS($G$3:$G$116,$A$3:$A$116,A34,$B$3:$B$116,0)/SUMIFS($F$3:$F$116,$A$3:$A$116,A34,$B$3:$B$116,0)),"")</f>
        <v/>
      </c>
      <c r="J34" s="14">
        <f>IFERROR(IF(B34=0,1,IF(C34&lt;=1,G34-SUMIFS($G$3:$G$116,$A$3:$A$116,A34,$B$3:$B$116,0),G34-G33)/E34/(SUMIFS($G$3:$G$116,$A$3:$A$116,A34,$B$3:$B$116,0)/SUMIFS($F$3:$F$116,$A$3:$A$116,A34,$B$3:$B$116,0))),"")</f>
        <v/>
      </c>
      <c r="K34" s="9" t="n"/>
      <c r="L34" s="9" t="n"/>
      <c r="M34" s="14">
        <f>IF(OR(K34="",L34="",L34=0),"",K34/L34)</f>
        <v/>
      </c>
      <c r="N34" s="9" t="inlineStr"/>
      <c r="O34" s="9">
        <f>IF(B34=0,"基准",IF(C34=6,"6 级专精：空位用完后的出路，看后期实测，不和多放基础塔比",IF(AND(N34&lt;&gt;"",I34&lt;0.85),"功能型：单看输出偏低属正常",IF(I34&gt;=0.85,"划算",IF(I34&gt;=0.65,"略亏：空位紧张时仍值得","偏亏：建议降价或加强")))))</f>
        <v/>
      </c>
    </row>
    <row r="35">
      <c r="A35" s="9" t="inlineStr">
        <is>
          <t>bomb</t>
        </is>
      </c>
      <c r="B35" s="9" t="n">
        <v>3</v>
      </c>
      <c r="C35" s="9" t="n">
        <v>1</v>
      </c>
      <c r="D35" s="9" t="inlineStr">
        <is>
          <t>耐放香蕉皮</t>
        </is>
      </c>
      <c r="E35" s="9" t="n">
        <v>50</v>
      </c>
      <c r="F35" s="9" t="n">
        <v>210</v>
      </c>
      <c r="G35" s="9" t="n">
        <v>7.11</v>
      </c>
      <c r="H35" s="14">
        <f>G35/F35*100</f>
        <v/>
      </c>
      <c r="I35" s="14">
        <f>IFERROR((G35/F35)/(SUMIFS($G$3:$G$116,$A$3:$A$116,A35,$B$3:$B$116,0)/SUMIFS($F$3:$F$116,$A$3:$A$116,A35,$B$3:$B$116,0)),"")</f>
        <v/>
      </c>
      <c r="J35" s="14">
        <f>IFERROR(IF(B35=0,1,IF(C35&lt;=1,G35-SUMIFS($G$3:$G$116,$A$3:$A$116,A35,$B$3:$B$116,0),G35-G34)/E35/(SUMIFS($G$3:$G$116,$A$3:$A$116,A35,$B$3:$B$116,0)/SUMIFS($F$3:$F$116,$A$3:$A$116,A35,$B$3:$B$116,0))),"")</f>
        <v/>
      </c>
      <c r="K35" s="9" t="n">
        <v>0.389</v>
      </c>
      <c r="L35" s="9" t="n">
        <v>0.485</v>
      </c>
      <c r="M35" s="14">
        <f>IF(OR(K35="",L35="",L35=0),"",K35/L35)</f>
        <v/>
      </c>
      <c r="N35" s="9" t="inlineStr">
        <is>
          <t>布阵</t>
        </is>
      </c>
      <c r="O35" s="9">
        <f>IF(B35=0,"基准",IF(C35=6,"6 级专精：空位用完后的出路，看后期实测，不和多放基础塔比",IF(AND(N35&lt;&gt;"",I35&lt;0.85),"功能型：单看输出偏低属正常",IF(I35&gt;=0.85,"划算",IF(I35&gt;=0.65,"略亏：空位紧张时仍值得","偏亏：建议降价或加强")))))</f>
        <v/>
      </c>
    </row>
    <row r="36">
      <c r="A36" s="9" t="inlineStr">
        <is>
          <t>bomb</t>
        </is>
      </c>
      <c r="B36" s="9" t="n">
        <v>3</v>
      </c>
      <c r="C36" s="9" t="n">
        <v>2</v>
      </c>
      <c r="D36" s="9" t="inlineStr">
        <is>
          <t>备货</t>
        </is>
      </c>
      <c r="E36" s="9" t="n">
        <v>100</v>
      </c>
      <c r="F36" s="9" t="n">
        <v>310</v>
      </c>
      <c r="G36" s="9" t="n">
        <v>7.11</v>
      </c>
      <c r="H36" s="14">
        <f>G36/F36*100</f>
        <v/>
      </c>
      <c r="I36" s="14">
        <f>IFERROR((G36/F36)/(SUMIFS($G$3:$G$116,$A$3:$A$116,A36,$B$3:$B$116,0)/SUMIFS($F$3:$F$116,$A$3:$A$116,A36,$B$3:$B$116,0)),"")</f>
        <v/>
      </c>
      <c r="J36" s="14">
        <f>IFERROR(IF(B36=0,1,IF(C36&lt;=1,G36-SUMIFS($G$3:$G$116,$A$3:$A$116,A36,$B$3:$B$116,0),G36-G35)/E36/(SUMIFS($G$3:$G$116,$A$3:$A$116,A36,$B$3:$B$116,0)/SUMIFS($F$3:$F$116,$A$3:$A$116,A36,$B$3:$B$116,0))),"")</f>
        <v/>
      </c>
      <c r="K36" s="9" t="n">
        <v>0.354</v>
      </c>
      <c r="L36" s="9" t="n">
        <v>0.706</v>
      </c>
      <c r="M36" s="14">
        <f>IF(OR(K36="",L36="",L36=0),"",K36/L36)</f>
        <v/>
      </c>
      <c r="N36" s="9" t="inlineStr">
        <is>
          <t>布阵</t>
        </is>
      </c>
      <c r="O36" s="9">
        <f>IF(B36=0,"基准",IF(C36=6,"6 级专精：空位用完后的出路，看后期实测，不和多放基础塔比",IF(AND(N36&lt;&gt;"",I36&lt;0.85),"功能型：单看输出偏低属正常",IF(I36&gt;=0.85,"划算",IF(I36&gt;=0.65,"略亏：空位紧张时仍值得","偏亏：建议降价或加强")))))</f>
        <v/>
      </c>
    </row>
    <row r="37">
      <c r="A37" s="9" t="inlineStr">
        <is>
          <t>bomb</t>
        </is>
      </c>
      <c r="B37" s="9" t="n">
        <v>3</v>
      </c>
      <c r="C37" s="9" t="n">
        <v>3</v>
      </c>
      <c r="D37" s="9" t="inlineStr">
        <is>
          <t>自动补货</t>
        </is>
      </c>
      <c r="E37" s="9" t="n">
        <v>220</v>
      </c>
      <c r="F37" s="9" t="n">
        <v>530</v>
      </c>
      <c r="G37" s="9" t="n">
        <v>7.11</v>
      </c>
      <c r="H37" s="14">
        <f>G37/F37*100</f>
        <v/>
      </c>
      <c r="I37" s="14">
        <f>IFERROR((G37/F37)/(SUMIFS($G$3:$G$116,$A$3:$A$116,A37,$B$3:$B$116,0)/SUMIFS($F$3:$F$116,$A$3:$A$116,A37,$B$3:$B$116,0)),"")</f>
        <v/>
      </c>
      <c r="J37" s="14">
        <f>IFERROR(IF(B37=0,1,IF(C37&lt;=1,G37-SUMIFS($G$3:$G$116,$A$3:$A$116,A37,$B$3:$B$116,0),G37-G36)/E37/(SUMIFS($G$3:$G$116,$A$3:$A$116,A37,$B$3:$B$116,0)/SUMIFS($F$3:$F$116,$A$3:$A$116,A37,$B$3:$B$116,0))),"")</f>
        <v/>
      </c>
      <c r="K37" s="9" t="n">
        <v>0.326</v>
      </c>
      <c r="L37" s="9" t="n">
        <v>0.965</v>
      </c>
      <c r="M37" s="14">
        <f>IF(OR(K37="",L37="",L37=0),"",K37/L37)</f>
        <v/>
      </c>
      <c r="N37" s="9" t="inlineStr">
        <is>
          <t>布阵</t>
        </is>
      </c>
      <c r="O37" s="9">
        <f>IF(B37=0,"基准",IF(C37=6,"6 级专精：空位用完后的出路，看后期实测，不和多放基础塔比",IF(AND(N37&lt;&gt;"",I37&lt;0.85),"功能型：单看输出偏低属正常",IF(I37&gt;=0.85,"划算",IF(I37&gt;=0.65,"略亏：空位紧张时仍值得","偏亏：建议降价或加强")))))</f>
        <v/>
      </c>
    </row>
    <row r="38">
      <c r="A38" s="9" t="inlineStr">
        <is>
          <t>bomb</t>
        </is>
      </c>
      <c r="B38" s="9" t="n">
        <v>3</v>
      </c>
      <c r="C38" s="9" t="n">
        <v>4</v>
      </c>
      <c r="D38" s="9" t="inlineStr">
        <is>
          <t>补货加速</t>
        </is>
      </c>
      <c r="E38" s="9" t="n">
        <v>600</v>
      </c>
      <c r="F38" s="9" t="n">
        <v>1130</v>
      </c>
      <c r="G38" s="9" t="n">
        <v>10.15</v>
      </c>
      <c r="H38" s="14">
        <f>G38/F38*100</f>
        <v/>
      </c>
      <c r="I38" s="14">
        <f>IFERROR((G38/F38)/(SUMIFS($G$3:$G$116,$A$3:$A$116,A38,$B$3:$B$116,0)/SUMIFS($F$3:$F$116,$A$3:$A$116,A38,$B$3:$B$116,0)),"")</f>
        <v/>
      </c>
      <c r="J38" s="14">
        <f>IFERROR(IF(B38=0,1,IF(C38&lt;=1,G38-SUMIFS($G$3:$G$116,$A$3:$A$116,A38,$B$3:$B$116,0),G38-G37)/E38/(SUMIFS($G$3:$G$116,$A$3:$A$116,A38,$B$3:$B$116,0)/SUMIFS($F$3:$F$116,$A$3:$A$116,A38,$B$3:$B$116,0))),"")</f>
        <v/>
      </c>
      <c r="K38" s="9" t="n">
        <v>0.646</v>
      </c>
      <c r="L38" s="9" t="n">
        <v>1</v>
      </c>
      <c r="M38" s="14">
        <f>IF(OR(K38="",L38="",L38=0),"",K38/L38)</f>
        <v/>
      </c>
      <c r="N38" s="9" t="inlineStr"/>
      <c r="O38" s="9">
        <f>IF(B38=0,"基准",IF(C38=6,"6 级专精：空位用完后的出路，看后期实测，不和多放基础塔比",IF(AND(N38&lt;&gt;"",I38&lt;0.85),"功能型：单看输出偏低属正常",IF(I38&gt;=0.85,"划算",IF(I38&gt;=0.65,"略亏：空位紧张时仍值得","偏亏：建议降价或加强")))))</f>
        <v/>
      </c>
    </row>
    <row r="39">
      <c r="A39" s="9" t="inlineStr">
        <is>
          <t>bomb</t>
        </is>
      </c>
      <c r="B39" s="9" t="n">
        <v>3</v>
      </c>
      <c r="C39" s="9" t="n">
        <v>5</v>
      </c>
      <c r="D39" s="9" t="inlineStr">
        <is>
          <t>多组陷阱</t>
        </is>
      </c>
      <c r="E39" s="9" t="n">
        <v>1300</v>
      </c>
      <c r="F39" s="9" t="n">
        <v>2430</v>
      </c>
      <c r="G39" s="9" t="n">
        <v>20.31</v>
      </c>
      <c r="H39" s="14">
        <f>G39/F39*100</f>
        <v/>
      </c>
      <c r="I39" s="14">
        <f>IFERROR((G39/F39)/(SUMIFS($G$3:$G$116,$A$3:$A$116,A39,$B$3:$B$116,0)/SUMIFS($F$3:$F$116,$A$3:$A$116,A39,$B$3:$B$116,0)),"")</f>
        <v/>
      </c>
      <c r="J39" s="14">
        <f>IFERROR(IF(B39=0,1,IF(C39&lt;=1,G39-SUMIFS($G$3:$G$116,$A$3:$A$116,A39,$B$3:$B$116,0),G39-G38)/E39/(SUMIFS($G$3:$G$116,$A$3:$A$116,A39,$B$3:$B$116,0)/SUMIFS($F$3:$F$116,$A$3:$A$116,A39,$B$3:$B$116,0))),"")</f>
        <v/>
      </c>
      <c r="K39" s="9" t="n"/>
      <c r="L39" s="9" t="n"/>
      <c r="M39" s="14">
        <f>IF(OR(K39="",L39="",L39=0),"",K39/L39)</f>
        <v/>
      </c>
      <c r="N39" s="9" t="inlineStr">
        <is>
          <t>布阵</t>
        </is>
      </c>
      <c r="O39" s="9">
        <f>IF(B39=0,"基准",IF(C39=6,"6 级专精：空位用完后的出路，看后期实测，不和多放基础塔比",IF(AND(N39&lt;&gt;"",I39&lt;0.85),"功能型：单看输出偏低属正常",IF(I39&gt;=0.85,"划算",IF(I39&gt;=0.65,"略亏：空位紧张时仍值得","偏亏：建议降价或加强")))))</f>
        <v/>
      </c>
    </row>
    <row r="40">
      <c r="A40" s="9" t="inlineStr">
        <is>
          <t>bomb</t>
        </is>
      </c>
      <c r="B40" s="9" t="n">
        <v>3</v>
      </c>
      <c r="C40" s="9" t="n">
        <v>6</v>
      </c>
      <c r="D40" s="9" t="inlineStr">
        <is>
          <t>香蕉皮仓库</t>
        </is>
      </c>
      <c r="E40" s="9" t="n">
        <v>3200</v>
      </c>
      <c r="F40" s="9" t="n">
        <v>5630</v>
      </c>
      <c r="G40" s="9" t="n">
        <v>67.69</v>
      </c>
      <c r="H40" s="14">
        <f>G40/F40*100</f>
        <v/>
      </c>
      <c r="I40" s="14">
        <f>IFERROR((G40/F40)/(SUMIFS($G$3:$G$116,$A$3:$A$116,A40,$B$3:$B$116,0)/SUMIFS($F$3:$F$116,$A$3:$A$116,A40,$B$3:$B$116,0)),"")</f>
        <v/>
      </c>
      <c r="J40" s="14">
        <f>IFERROR(IF(B40=0,1,IF(C40&lt;=1,G40-SUMIFS($G$3:$G$116,$A$3:$A$116,A40,$B$3:$B$116,0),G40-G39)/E40/(SUMIFS($G$3:$G$116,$A$3:$A$116,A40,$B$3:$B$116,0)/SUMIFS($F$3:$F$116,$A$3:$A$116,A40,$B$3:$B$116,0))),"")</f>
        <v/>
      </c>
      <c r="K40" s="9" t="n"/>
      <c r="L40" s="9" t="n"/>
      <c r="M40" s="14">
        <f>IF(OR(K40="",L40="",L40=0),"",K40/L40)</f>
        <v/>
      </c>
      <c r="N40" s="9" t="inlineStr">
        <is>
          <t>布阵</t>
        </is>
      </c>
      <c r="O40" s="9">
        <f>IF(B40=0,"基准",IF(C40=6,"6 级专精：空位用完后的出路，看后期实测，不和多放基础塔比",IF(AND(N40&lt;&gt;"",I40&lt;0.85),"功能型：单看输出偏低属正常",IF(I40&gt;=0.85,"划算",IF(I40&gt;=0.65,"略亏：空位紧张时仍值得","偏亏：建议降价或加强")))))</f>
        <v/>
      </c>
    </row>
    <row r="41">
      <c r="A41" s="9" t="inlineStr">
        <is>
          <t>frost</t>
        </is>
      </c>
      <c r="B41" s="9" t="n">
        <v>0</v>
      </c>
      <c r="C41" s="9" t="n">
        <v>0</v>
      </c>
      <c r="D41" s="9" t="inlineStr">
        <is>
          <t>基础</t>
        </is>
      </c>
      <c r="E41" s="9" t="n">
        <v>120</v>
      </c>
      <c r="F41" s="9" t="n">
        <v>120</v>
      </c>
      <c r="G41" s="9" t="n">
        <v>2.26</v>
      </c>
      <c r="H41" s="14">
        <f>G41/F41*100</f>
        <v/>
      </c>
      <c r="I41" s="14">
        <f>IFERROR((G41/F41)/(SUMIFS($G$3:$G$116,$A$3:$A$116,A41,$B$3:$B$116,0)/SUMIFS($F$3:$F$116,$A$3:$A$116,A41,$B$3:$B$116,0)),"")</f>
        <v/>
      </c>
      <c r="J41" s="14">
        <f>IFERROR(IF(B41=0,1,IF(C41&lt;=1,G41-SUMIFS($G$3:$G$116,$A$3:$A$116,A41,$B$3:$B$116,0),G41-G40)/E41/(SUMIFS($G$3:$G$116,$A$3:$A$116,A41,$B$3:$B$116,0)/SUMIFS($F$3:$F$116,$A$3:$A$116,A41,$B$3:$B$116,0))),"")</f>
        <v/>
      </c>
      <c r="K41" s="9" t="n"/>
      <c r="L41" s="9" t="n"/>
      <c r="M41" s="14">
        <f>IF(OR(K41="",L41="",L41=0),"",K41/L41)</f>
        <v/>
      </c>
      <c r="N41" s="9" t="inlineStr"/>
      <c r="O41" s="9">
        <f>IF(B41=0,"基准",IF(C41=6,"6 级专精：空位用完后的出路，看后期实测，不和多放基础塔比",IF(AND(N41&lt;&gt;"",I41&lt;0.85),"功能型：单看输出偏低属正常",IF(I41&gt;=0.85,"划算",IF(I41&gt;=0.65,"略亏：空位紧张时仍值得","偏亏：建议降价或加强")))))</f>
        <v/>
      </c>
    </row>
    <row r="42">
      <c r="A42" s="9" t="inlineStr">
        <is>
          <t>frost</t>
        </is>
      </c>
      <c r="B42" s="9" t="n">
        <v>1</v>
      </c>
      <c r="C42" s="9" t="n">
        <v>1</v>
      </c>
      <c r="D42" s="9" t="inlineStr">
        <is>
          <t>喷头加长</t>
        </is>
      </c>
      <c r="E42" s="9" t="n">
        <v>60</v>
      </c>
      <c r="F42" s="9" t="n">
        <v>180</v>
      </c>
      <c r="G42" s="9" t="n">
        <v>2.73</v>
      </c>
      <c r="H42" s="14">
        <f>G42/F42*100</f>
        <v/>
      </c>
      <c r="I42" s="14">
        <f>IFERROR((G42/F42)/(SUMIFS($G$3:$G$116,$A$3:$A$116,A42,$B$3:$B$116,0)/SUMIFS($F$3:$F$116,$A$3:$A$116,A42,$B$3:$B$116,0)),"")</f>
        <v/>
      </c>
      <c r="J42" s="14">
        <f>IFERROR(IF(B42=0,1,IF(C42&lt;=1,G42-SUMIFS($G$3:$G$116,$A$3:$A$116,A42,$B$3:$B$116,0),G42-G41)/E42/(SUMIFS($G$3:$G$116,$A$3:$A$116,A42,$B$3:$B$116,0)/SUMIFS($F$3:$F$116,$A$3:$A$116,A42,$B$3:$B$116,0))),"")</f>
        <v/>
      </c>
      <c r="K42" s="9" t="n">
        <v>0.356</v>
      </c>
      <c r="L42" s="9" t="n">
        <v>0.357</v>
      </c>
      <c r="M42" s="14">
        <f>IF(OR(K42="",L42="",L42=0),"",K42/L42)</f>
        <v/>
      </c>
      <c r="N42" s="9" t="inlineStr"/>
      <c r="O42" s="9">
        <f>IF(B42=0,"基准",IF(C42=6,"6 级专精：空位用完后的出路，看后期实测，不和多放基础塔比",IF(AND(N42&lt;&gt;"",I42&lt;0.85),"功能型：单看输出偏低属正常",IF(I42&gt;=0.85,"划算",IF(I42&gt;=0.65,"略亏：空位紧张时仍值得","偏亏：建议降价或加强")))))</f>
        <v/>
      </c>
    </row>
    <row r="43">
      <c r="A43" s="9" t="inlineStr">
        <is>
          <t>frost</t>
        </is>
      </c>
      <c r="B43" s="9" t="n">
        <v>1</v>
      </c>
      <c r="C43" s="9" t="n">
        <v>2</v>
      </c>
      <c r="D43" s="9" t="inlineStr">
        <is>
          <t>湿地持久</t>
        </is>
      </c>
      <c r="E43" s="9" t="n">
        <v>80</v>
      </c>
      <c r="F43" s="9" t="n">
        <v>260</v>
      </c>
      <c r="G43" s="9" t="n">
        <v>2.73</v>
      </c>
      <c r="H43" s="14">
        <f>G43/F43*100</f>
        <v/>
      </c>
      <c r="I43" s="14">
        <f>IFERROR((G43/F43)/(SUMIFS($G$3:$G$116,$A$3:$A$116,A43,$B$3:$B$116,0)/SUMIFS($F$3:$F$116,$A$3:$A$116,A43,$B$3:$B$116,0)),"")</f>
        <v/>
      </c>
      <c r="J43" s="14">
        <f>IFERROR(IF(B43=0,1,IF(C43&lt;=1,G43-SUMIFS($G$3:$G$116,$A$3:$A$116,A43,$B$3:$B$116,0),G43-G42)/E43/(SUMIFS($G$3:$G$116,$A$3:$A$116,A43,$B$3:$B$116,0)/SUMIFS($F$3:$F$116,$A$3:$A$116,A43,$B$3:$B$116,0))),"")</f>
        <v/>
      </c>
      <c r="K43" s="9" t="n">
        <v>0.358</v>
      </c>
      <c r="L43" s="9" t="n">
        <v>0.508</v>
      </c>
      <c r="M43" s="14">
        <f>IF(OR(K43="",L43="",L43=0),"",K43/L43)</f>
        <v/>
      </c>
      <c r="N43" s="9" t="inlineStr">
        <is>
          <t>减速</t>
        </is>
      </c>
      <c r="O43" s="9">
        <f>IF(B43=0,"基准",IF(C43=6,"6 级专精：空位用完后的出路，看后期实测，不和多放基础塔比",IF(AND(N43&lt;&gt;"",I43&lt;0.85),"功能型：单看输出偏低属正常",IF(I43&gt;=0.85,"划算",IF(I43&gt;=0.65,"略亏：空位紧张时仍值得","偏亏：建议降价或加强")))))</f>
        <v/>
      </c>
    </row>
    <row r="44">
      <c r="A44" s="9" t="inlineStr">
        <is>
          <t>frost</t>
        </is>
      </c>
      <c r="B44" s="9" t="n">
        <v>1</v>
      </c>
      <c r="C44" s="9" t="n">
        <v>3</v>
      </c>
      <c r="D44" s="9" t="inlineStr">
        <is>
          <t>持续喷淋</t>
        </is>
      </c>
      <c r="E44" s="9" t="n">
        <v>280</v>
      </c>
      <c r="F44" s="9" t="n">
        <v>540</v>
      </c>
      <c r="G44" s="9" t="n">
        <v>4.54</v>
      </c>
      <c r="H44" s="14">
        <f>G44/F44*100</f>
        <v/>
      </c>
      <c r="I44" s="14">
        <f>IFERROR((G44/F44)/(SUMIFS($G$3:$G$116,$A$3:$A$116,A44,$B$3:$B$116,0)/SUMIFS($F$3:$F$116,$A$3:$A$116,A44,$B$3:$B$116,0)),"")</f>
        <v/>
      </c>
      <c r="J44" s="14">
        <f>IFERROR(IF(B44=0,1,IF(C44&lt;=1,G44-SUMIFS($G$3:$G$116,$A$3:$A$116,A44,$B$3:$B$116,0),G44-G43)/E44/(SUMIFS($G$3:$G$116,$A$3:$A$116,A44,$B$3:$B$116,0)/SUMIFS($F$3:$F$116,$A$3:$A$116,A44,$B$3:$B$116,0))),"")</f>
        <v/>
      </c>
      <c r="K44" s="9" t="n">
        <v>0.615</v>
      </c>
      <c r="L44" s="9" t="n">
        <v>0.825</v>
      </c>
      <c r="M44" s="14">
        <f>IF(OR(K44="",L44="",L44=0),"",K44/L44)</f>
        <v/>
      </c>
      <c r="N44" s="9" t="inlineStr"/>
      <c r="O44" s="9">
        <f>IF(B44=0,"基准",IF(C44=6,"6 级专精：空位用完后的出路，看后期实测，不和多放基础塔比",IF(AND(N44&lt;&gt;"",I44&lt;0.85),"功能型：单看输出偏低属正常",IF(I44&gt;=0.85,"划算",IF(I44&gt;=0.65,"略亏：空位紧张时仍值得","偏亏：建议降价或加强")))))</f>
        <v/>
      </c>
    </row>
    <row r="45">
      <c r="A45" s="9" t="inlineStr">
        <is>
          <t>frost</t>
        </is>
      </c>
      <c r="B45" s="9" t="n">
        <v>1</v>
      </c>
      <c r="C45" s="9" t="n">
        <v>4</v>
      </c>
      <c r="D45" s="9" t="inlineStr">
        <is>
          <t>不间断</t>
        </is>
      </c>
      <c r="E45" s="9" t="n">
        <v>600</v>
      </c>
      <c r="F45" s="9" t="n">
        <v>1140</v>
      </c>
      <c r="G45" s="9" t="n">
        <v>6.49</v>
      </c>
      <c r="H45" s="14">
        <f>G45/F45*100</f>
        <v/>
      </c>
      <c r="I45" s="14">
        <f>IFERROR((G45/F45)/(SUMIFS($G$3:$G$116,$A$3:$A$116,A45,$B$3:$B$116,0)/SUMIFS($F$3:$F$116,$A$3:$A$116,A45,$B$3:$B$116,0)),"")</f>
        <v/>
      </c>
      <c r="J45" s="14">
        <f>IFERROR(IF(B45=0,1,IF(C45&lt;=1,G45-SUMIFS($G$3:$G$116,$A$3:$A$116,A45,$B$3:$B$116,0),G45-G44)/E45/(SUMIFS($G$3:$G$116,$A$3:$A$116,A45,$B$3:$B$116,0)/SUMIFS($F$3:$F$116,$A$3:$A$116,A45,$B$3:$B$116,0))),"")</f>
        <v/>
      </c>
      <c r="K45" s="9" t="n">
        <v>0.8080000000000001</v>
      </c>
      <c r="L45" s="9" t="n">
        <v>0.965</v>
      </c>
      <c r="M45" s="14">
        <f>IF(OR(K45="",L45="",L45=0),"",K45/L45)</f>
        <v/>
      </c>
      <c r="N45" s="9" t="inlineStr">
        <is>
          <t>减速</t>
        </is>
      </c>
      <c r="O45" s="9">
        <f>IF(B45=0,"基准",IF(C45=6,"6 级专精：空位用完后的出路，看后期实测，不和多放基础塔比",IF(AND(N45&lt;&gt;"",I45&lt;0.85),"功能型：单看输出偏低属正常",IF(I45&gt;=0.85,"划算",IF(I45&gt;=0.65,"略亏：空位紧张时仍值得","偏亏：建议降价或加强")))))</f>
        <v/>
      </c>
    </row>
    <row r="46">
      <c r="A46" s="9" t="inlineStr">
        <is>
          <t>frost</t>
        </is>
      </c>
      <c r="B46" s="9" t="n">
        <v>1</v>
      </c>
      <c r="C46" s="9" t="n">
        <v>5</v>
      </c>
      <c r="D46" s="9" t="inlineStr">
        <is>
          <t>双喷头</t>
        </is>
      </c>
      <c r="E46" s="9" t="n">
        <v>1300</v>
      </c>
      <c r="F46" s="9" t="n">
        <v>2440</v>
      </c>
      <c r="G46" s="9" t="n">
        <v>8.35</v>
      </c>
      <c r="H46" s="14">
        <f>G46/F46*100</f>
        <v/>
      </c>
      <c r="I46" s="14">
        <f>IFERROR((G46/F46)/(SUMIFS($G$3:$G$116,$A$3:$A$116,A46,$B$3:$B$116,0)/SUMIFS($F$3:$F$116,$A$3:$A$116,A46,$B$3:$B$116,0)),"")</f>
        <v/>
      </c>
      <c r="J46" s="14">
        <f>IFERROR(IF(B46=0,1,IF(C46&lt;=1,G46-SUMIFS($G$3:$G$116,$A$3:$A$116,A46,$B$3:$B$116,0),G46-G45)/E46/(SUMIFS($G$3:$G$116,$A$3:$A$116,A46,$B$3:$B$116,0)/SUMIFS($F$3:$F$116,$A$3:$A$116,A46,$B$3:$B$116,0))),"")</f>
        <v/>
      </c>
      <c r="K46" s="9" t="n"/>
      <c r="L46" s="9" t="n"/>
      <c r="M46" s="14">
        <f>IF(OR(K46="",L46="",L46=0),"",K46/L46)</f>
        <v/>
      </c>
      <c r="N46" s="9" t="inlineStr">
        <is>
          <t>减速</t>
        </is>
      </c>
      <c r="O46" s="9">
        <f>IF(B46=0,"基准",IF(C46=6,"6 级专精：空位用完后的出路，看后期实测，不和多放基础塔比",IF(AND(N46&lt;&gt;"",I46&lt;0.85),"功能型：单看输出偏低属正常",IF(I46&gt;=0.85,"划算",IF(I46&gt;=0.65,"略亏：空位紧张时仍值得","偏亏：建议降价或加强")))))</f>
        <v/>
      </c>
    </row>
    <row r="47">
      <c r="A47" s="9" t="inlineStr">
        <is>
          <t>frost</t>
        </is>
      </c>
      <c r="B47" s="9" t="n">
        <v>1</v>
      </c>
      <c r="C47" s="9" t="n">
        <v>6</v>
      </c>
      <c r="D47" s="9" t="inlineStr">
        <is>
          <t>暴雨喷淋站</t>
        </is>
      </c>
      <c r="E47" s="9" t="n">
        <v>3200</v>
      </c>
      <c r="F47" s="9" t="n">
        <v>5640</v>
      </c>
      <c r="G47" s="9" t="n">
        <v>38.79</v>
      </c>
      <c r="H47" s="14">
        <f>G47/F47*100</f>
        <v/>
      </c>
      <c r="I47" s="14">
        <f>IFERROR((G47/F47)/(SUMIFS($G$3:$G$116,$A$3:$A$116,A47,$B$3:$B$116,0)/SUMIFS($F$3:$F$116,$A$3:$A$116,A47,$B$3:$B$116,0)),"")</f>
        <v/>
      </c>
      <c r="J47" s="14">
        <f>IFERROR(IF(B47=0,1,IF(C47&lt;=1,G47-SUMIFS($G$3:$G$116,$A$3:$A$116,A47,$B$3:$B$116,0),G47-G46)/E47/(SUMIFS($G$3:$G$116,$A$3:$A$116,A47,$B$3:$B$116,0)/SUMIFS($F$3:$F$116,$A$3:$A$116,A47,$B$3:$B$116,0))),"")</f>
        <v/>
      </c>
      <c r="K47" s="9" t="n"/>
      <c r="L47" s="9" t="n"/>
      <c r="M47" s="14">
        <f>IF(OR(K47="",L47="",L47=0),"",K47/L47)</f>
        <v/>
      </c>
      <c r="N47" s="9" t="inlineStr">
        <is>
          <t>减速</t>
        </is>
      </c>
      <c r="O47" s="9">
        <f>IF(B47=0,"基准",IF(C47=6,"6 级专精：空位用完后的出路，看后期实测，不和多放基础塔比",IF(AND(N47&lt;&gt;"",I47&lt;0.85),"功能型：单看输出偏低属正常",IF(I47&gt;=0.85,"划算",IF(I47&gt;=0.65,"略亏：空位紧张时仍值得","偏亏：建议降价或加强")))))</f>
        <v/>
      </c>
    </row>
    <row r="48">
      <c r="A48" s="9" t="inlineStr">
        <is>
          <t>frost</t>
        </is>
      </c>
      <c r="B48" s="9" t="n">
        <v>2</v>
      </c>
      <c r="C48" s="9" t="n">
        <v>1</v>
      </c>
      <c r="D48" s="9" t="inlineStr">
        <is>
          <t>冰水</t>
        </is>
      </c>
      <c r="E48" s="9" t="n">
        <v>45</v>
      </c>
      <c r="F48" s="9" t="n">
        <v>165</v>
      </c>
      <c r="G48" s="9" t="n">
        <v>2.26</v>
      </c>
      <c r="H48" s="14">
        <f>G48/F48*100</f>
        <v/>
      </c>
      <c r="I48" s="14">
        <f>IFERROR((G48/F48)/(SUMIFS($G$3:$G$116,$A$3:$A$116,A48,$B$3:$B$116,0)/SUMIFS($F$3:$F$116,$A$3:$A$116,A48,$B$3:$B$116,0)),"")</f>
        <v/>
      </c>
      <c r="J48" s="14">
        <f>IFERROR(IF(B48=0,1,IF(C48&lt;=1,G48-SUMIFS($G$3:$G$116,$A$3:$A$116,A48,$B$3:$B$116,0),G48-G47)/E48/(SUMIFS($G$3:$G$116,$A$3:$A$116,A48,$B$3:$B$116,0)/SUMIFS($F$3:$F$116,$A$3:$A$116,A48,$B$3:$B$116,0))),"")</f>
        <v/>
      </c>
      <c r="K48" s="9" t="n">
        <v>0.257</v>
      </c>
      <c r="L48" s="9" t="n">
        <v>0.327</v>
      </c>
      <c r="M48" s="14">
        <f>IF(OR(K48="",L48="",L48=0),"",K48/L48)</f>
        <v/>
      </c>
      <c r="N48" s="9" t="inlineStr">
        <is>
          <t>减速</t>
        </is>
      </c>
      <c r="O48" s="9">
        <f>IF(B48=0,"基准",IF(C48=6,"6 级专精：空位用完后的出路，看后期实测，不和多放基础塔比",IF(AND(N48&lt;&gt;"",I48&lt;0.85),"功能型：单看输出偏低属正常",IF(I48&gt;=0.85,"划算",IF(I48&gt;=0.65,"略亏：空位紧张时仍值得","偏亏：建议降价或加强")))))</f>
        <v/>
      </c>
    </row>
    <row r="49">
      <c r="A49" s="9" t="inlineStr">
        <is>
          <t>frost</t>
        </is>
      </c>
      <c r="B49" s="9" t="n">
        <v>2</v>
      </c>
      <c r="C49" s="9" t="n">
        <v>2</v>
      </c>
      <c r="D49" s="9" t="inlineStr">
        <is>
          <t>积霜</t>
        </is>
      </c>
      <c r="E49" s="9" t="n">
        <v>80</v>
      </c>
      <c r="F49" s="9" t="n">
        <v>245</v>
      </c>
      <c r="G49" s="9" t="n">
        <v>2.26</v>
      </c>
      <c r="H49" s="14">
        <f>G49/F49*100</f>
        <v/>
      </c>
      <c r="I49" s="14">
        <f>IFERROR((G49/F49)/(SUMIFS($G$3:$G$116,$A$3:$A$116,A49,$B$3:$B$116,0)/SUMIFS($F$3:$F$116,$A$3:$A$116,A49,$B$3:$B$116,0)),"")</f>
        <v/>
      </c>
      <c r="J49" s="14">
        <f>IFERROR(IF(B49=0,1,IF(C49&lt;=1,G49-SUMIFS($G$3:$G$116,$A$3:$A$116,A49,$B$3:$B$116,0),G49-G48)/E49/(SUMIFS($G$3:$G$116,$A$3:$A$116,A49,$B$3:$B$116,0)/SUMIFS($F$3:$F$116,$A$3:$A$116,A49,$B$3:$B$116,0))),"")</f>
        <v/>
      </c>
      <c r="K49" s="9" t="n">
        <v>0.351</v>
      </c>
      <c r="L49" s="9" t="n">
        <v>0.485</v>
      </c>
      <c r="M49" s="14">
        <f>IF(OR(K49="",L49="",L49=0),"",K49/L49)</f>
        <v/>
      </c>
      <c r="N49" s="9" t="inlineStr">
        <is>
          <t>减速</t>
        </is>
      </c>
      <c r="O49" s="9">
        <f>IF(B49=0,"基准",IF(C49=6,"6 级专精：空位用完后的出路，看后期实测，不和多放基础塔比",IF(AND(N49&lt;&gt;"",I49&lt;0.85),"功能型：单看输出偏低属正常",IF(I49&gt;=0.85,"划算",IF(I49&gt;=0.65,"略亏：空位紧张时仍值得","偏亏：建议降价或加强")))))</f>
        <v/>
      </c>
    </row>
    <row r="50">
      <c r="A50" s="9" t="inlineStr">
        <is>
          <t>frost</t>
        </is>
      </c>
      <c r="B50" s="9" t="n">
        <v>2</v>
      </c>
      <c r="C50" s="9" t="n">
        <v>3</v>
      </c>
      <c r="D50" s="9" t="inlineStr">
        <is>
          <t>积霜冻结</t>
        </is>
      </c>
      <c r="E50" s="9" t="n">
        <v>300</v>
      </c>
      <c r="F50" s="9" t="n">
        <v>545</v>
      </c>
      <c r="G50" s="9" t="n">
        <v>2.26</v>
      </c>
      <c r="H50" s="14">
        <f>G50/F50*100</f>
        <v/>
      </c>
      <c r="I50" s="14">
        <f>IFERROR((G50/F50)/(SUMIFS($G$3:$G$116,$A$3:$A$116,A50,$B$3:$B$116,0)/SUMIFS($F$3:$F$116,$A$3:$A$116,A50,$B$3:$B$116,0)),"")</f>
        <v/>
      </c>
      <c r="J50" s="14">
        <f>IFERROR(IF(B50=0,1,IF(C50&lt;=1,G50-SUMIFS($G$3:$G$116,$A$3:$A$116,A50,$B$3:$B$116,0),G50-G49)/E50/(SUMIFS($G$3:$G$116,$A$3:$A$116,A50,$B$3:$B$116,0)/SUMIFS($F$3:$F$116,$A$3:$A$116,A50,$B$3:$B$116,0))),"")</f>
        <v/>
      </c>
      <c r="K50" s="9" t="n">
        <v>0.695</v>
      </c>
      <c r="L50" s="9" t="n">
        <v>0.826</v>
      </c>
      <c r="M50" s="14">
        <f>IF(OR(K50="",L50="",L50=0),"",K50/L50)</f>
        <v/>
      </c>
      <c r="N50" s="9" t="inlineStr">
        <is>
          <t>冻结</t>
        </is>
      </c>
      <c r="O50" s="9">
        <f>IF(B50=0,"基准",IF(C50=6,"6 级专精：空位用完后的出路，看后期实测，不和多放基础塔比",IF(AND(N50&lt;&gt;"",I50&lt;0.85),"功能型：单看输出偏低属正常",IF(I50&gt;=0.85,"划算",IF(I50&gt;=0.65,"略亏：空位紧张时仍值得","偏亏：建议降价或加强")))))</f>
        <v/>
      </c>
    </row>
    <row r="51">
      <c r="A51" s="9" t="inlineStr">
        <is>
          <t>frost</t>
        </is>
      </c>
      <c r="B51" s="9" t="n">
        <v>2</v>
      </c>
      <c r="C51" s="9" t="n">
        <v>4</v>
      </c>
      <c r="D51" s="9" t="inlineStr">
        <is>
          <t>快速积霜</t>
        </is>
      </c>
      <c r="E51" s="9" t="n">
        <v>650</v>
      </c>
      <c r="F51" s="9" t="n">
        <v>1195</v>
      </c>
      <c r="G51" s="9" t="n">
        <v>2.26</v>
      </c>
      <c r="H51" s="14">
        <f>G51/F51*100</f>
        <v/>
      </c>
      <c r="I51" s="14">
        <f>IFERROR((G51/F51)/(SUMIFS($G$3:$G$116,$A$3:$A$116,A51,$B$3:$B$116,0)/SUMIFS($F$3:$F$116,$A$3:$A$116,A51,$B$3:$B$116,0)),"")</f>
        <v/>
      </c>
      <c r="J51" s="14">
        <f>IFERROR(IF(B51=0,1,IF(C51&lt;=1,G51-SUMIFS($G$3:$G$116,$A$3:$A$116,A51,$B$3:$B$116,0),G51-G50)/E51/(SUMIFS($G$3:$G$116,$A$3:$A$116,A51,$B$3:$B$116,0)/SUMIFS($F$3:$F$116,$A$3:$A$116,A51,$B$3:$B$116,0))),"")</f>
        <v/>
      </c>
      <c r="K51" s="9" t="n">
        <v>0.619</v>
      </c>
      <c r="L51" s="9" t="n">
        <v>0.978</v>
      </c>
      <c r="M51" s="14">
        <f>IF(OR(K51="",L51="",L51=0),"",K51/L51)</f>
        <v/>
      </c>
      <c r="N51" s="9" t="inlineStr"/>
      <c r="O51" s="9">
        <f>IF(B51=0,"基准",IF(C51=6,"6 级专精：空位用完后的出路，看后期实测，不和多放基础塔比",IF(AND(N51&lt;&gt;"",I51&lt;0.85),"功能型：单看输出偏低属正常",IF(I51&gt;=0.85,"划算",IF(I51&gt;=0.65,"略亏：空位紧张时仍值得","偏亏：建议降价或加强")))))</f>
        <v/>
      </c>
    </row>
    <row r="52">
      <c r="A52" s="9" t="inlineStr">
        <is>
          <t>frost</t>
        </is>
      </c>
      <c r="B52" s="9" t="n">
        <v>2</v>
      </c>
      <c r="C52" s="9" t="n">
        <v>5</v>
      </c>
      <c r="D52" s="9" t="inlineStr">
        <is>
          <t>群体冻结</t>
        </is>
      </c>
      <c r="E52" s="9" t="n">
        <v>1400</v>
      </c>
      <c r="F52" s="9" t="n">
        <v>2595</v>
      </c>
      <c r="G52" s="9" t="n">
        <v>2.26</v>
      </c>
      <c r="H52" s="14">
        <f>G52/F52*100</f>
        <v/>
      </c>
      <c r="I52" s="14">
        <f>IFERROR((G52/F52)/(SUMIFS($G$3:$G$116,$A$3:$A$116,A52,$B$3:$B$116,0)/SUMIFS($F$3:$F$116,$A$3:$A$116,A52,$B$3:$B$116,0)),"")</f>
        <v/>
      </c>
      <c r="J52" s="14">
        <f>IFERROR(IF(B52=0,1,IF(C52&lt;=1,G52-SUMIFS($G$3:$G$116,$A$3:$A$116,A52,$B$3:$B$116,0),G52-G51)/E52/(SUMIFS($G$3:$G$116,$A$3:$A$116,A52,$B$3:$B$116,0)/SUMIFS($F$3:$F$116,$A$3:$A$116,A52,$B$3:$B$116,0))),"")</f>
        <v/>
      </c>
      <c r="K52" s="9" t="n"/>
      <c r="L52" s="9" t="n"/>
      <c r="M52" s="14">
        <f>IF(OR(K52="",L52="",L52=0),"",K52/L52)</f>
        <v/>
      </c>
      <c r="N52" s="9" t="inlineStr">
        <is>
          <t>冻结</t>
        </is>
      </c>
      <c r="O52" s="9">
        <f>IF(B52=0,"基准",IF(C52=6,"6 级专精：空位用完后的出路，看后期实测，不和多放基础塔比",IF(AND(N52&lt;&gt;"",I52&lt;0.85),"功能型：单看输出偏低属正常",IF(I52&gt;=0.85,"划算",IF(I52&gt;=0.65,"略亏：空位紧张时仍值得","偏亏：建议降价或加强")))))</f>
        <v/>
      </c>
    </row>
    <row r="53">
      <c r="A53" s="9" t="inlineStr">
        <is>
          <t>frost</t>
        </is>
      </c>
      <c r="B53" s="9" t="n">
        <v>2</v>
      </c>
      <c r="C53" s="9" t="n">
        <v>6</v>
      </c>
      <c r="D53" s="9" t="inlineStr">
        <is>
          <t>极寒喷淋站</t>
        </is>
      </c>
      <c r="E53" s="9" t="n">
        <v>3400</v>
      </c>
      <c r="F53" s="9" t="n">
        <v>5995</v>
      </c>
      <c r="G53" s="9" t="n">
        <v>11.28</v>
      </c>
      <c r="H53" s="14">
        <f>G53/F53*100</f>
        <v/>
      </c>
      <c r="I53" s="14">
        <f>IFERROR((G53/F53)/(SUMIFS($G$3:$G$116,$A$3:$A$116,A53,$B$3:$B$116,0)/SUMIFS($F$3:$F$116,$A$3:$A$116,A53,$B$3:$B$116,0)),"")</f>
        <v/>
      </c>
      <c r="J53" s="14">
        <f>IFERROR(IF(B53=0,1,IF(C53&lt;=1,G53-SUMIFS($G$3:$G$116,$A$3:$A$116,A53,$B$3:$B$116,0),G53-G52)/E53/(SUMIFS($G$3:$G$116,$A$3:$A$116,A53,$B$3:$B$116,0)/SUMIFS($F$3:$F$116,$A$3:$A$116,A53,$B$3:$B$116,0))),"")</f>
        <v/>
      </c>
      <c r="K53" s="9" t="n"/>
      <c r="L53" s="9" t="n"/>
      <c r="M53" s="14">
        <f>IF(OR(K53="",L53="",L53=0),"",K53/L53)</f>
        <v/>
      </c>
      <c r="N53" s="9" t="inlineStr">
        <is>
          <t>全场冻结、易伤</t>
        </is>
      </c>
      <c r="O53" s="9">
        <f>IF(B53=0,"基准",IF(C53=6,"6 级专精：空位用完后的出路，看后期实测，不和多放基础塔比",IF(AND(N53&lt;&gt;"",I53&lt;0.85),"功能型：单看输出偏低属正常",IF(I53&gt;=0.85,"划算",IF(I53&gt;=0.65,"略亏：空位紧张时仍值得","偏亏：建议降价或加强")))))</f>
        <v/>
      </c>
    </row>
    <row r="54">
      <c r="A54" s="9" t="inlineStr">
        <is>
          <t>frost</t>
        </is>
      </c>
      <c r="B54" s="9" t="n">
        <v>3</v>
      </c>
      <c r="C54" s="9" t="n">
        <v>1</v>
      </c>
      <c r="D54" s="9" t="inlineStr">
        <is>
          <t>加压</t>
        </is>
      </c>
      <c r="E54" s="9" t="n">
        <v>60</v>
      </c>
      <c r="F54" s="9" t="n">
        <v>180</v>
      </c>
      <c r="G54" s="9" t="n">
        <v>2.88</v>
      </c>
      <c r="H54" s="14">
        <f>G54/F54*100</f>
        <v/>
      </c>
      <c r="I54" s="14">
        <f>IFERROR((G54/F54)/(SUMIFS($G$3:$G$116,$A$3:$A$116,A54,$B$3:$B$116,0)/SUMIFS($F$3:$F$116,$A$3:$A$116,A54,$B$3:$B$116,0)),"")</f>
        <v/>
      </c>
      <c r="J54" s="14">
        <f>IFERROR(IF(B54=0,1,IF(C54&lt;=1,G54-SUMIFS($G$3:$G$116,$A$3:$A$116,A54,$B$3:$B$116,0),G54-G53)/E54/(SUMIFS($G$3:$G$116,$A$3:$A$116,A54,$B$3:$B$116,0)/SUMIFS($F$3:$F$116,$A$3:$A$116,A54,$B$3:$B$116,0))),"")</f>
        <v/>
      </c>
      <c r="K54" s="9" t="n">
        <v>0.377</v>
      </c>
      <c r="L54" s="9" t="n">
        <v>0.357</v>
      </c>
      <c r="M54" s="14">
        <f>IF(OR(K54="",L54="",L54=0),"",K54/L54)</f>
        <v/>
      </c>
      <c r="N54" s="9" t="inlineStr"/>
      <c r="O54" s="9">
        <f>IF(B54=0,"基准",IF(C54=6,"6 级专精：空位用完后的出路，看后期实测，不和多放基础塔比",IF(AND(N54&lt;&gt;"",I54&lt;0.85),"功能型：单看输出偏低属正常",IF(I54&gt;=0.85,"划算",IF(I54&gt;=0.65,"略亏：空位紧张时仍值得","偏亏：建议降价或加强")))))</f>
        <v/>
      </c>
    </row>
    <row r="55">
      <c r="A55" s="9" t="inlineStr">
        <is>
          <t>frost</t>
        </is>
      </c>
      <c r="B55" s="9" t="n">
        <v>3</v>
      </c>
      <c r="C55" s="9" t="n">
        <v>2</v>
      </c>
      <c r="D55" s="9" t="inlineStr">
        <is>
          <t>宽喷束</t>
        </is>
      </c>
      <c r="E55" s="9" t="n">
        <v>110</v>
      </c>
      <c r="F55" s="9" t="n">
        <v>290</v>
      </c>
      <c r="G55" s="9" t="n">
        <v>5.76</v>
      </c>
      <c r="H55" s="14">
        <f>G55/F55*100</f>
        <v/>
      </c>
      <c r="I55" s="14">
        <f>IFERROR((G55/F55)/(SUMIFS($G$3:$G$116,$A$3:$A$116,A55,$B$3:$B$116,0)/SUMIFS($F$3:$F$116,$A$3:$A$116,A55,$B$3:$B$116,0)),"")</f>
        <v/>
      </c>
      <c r="J55" s="14">
        <f>IFERROR(IF(B55=0,1,IF(C55&lt;=1,G55-SUMIFS($G$3:$G$116,$A$3:$A$116,A55,$B$3:$B$116,0),G55-G54)/E55/(SUMIFS($G$3:$G$116,$A$3:$A$116,A55,$B$3:$B$116,0)/SUMIFS($F$3:$F$116,$A$3:$A$116,A55,$B$3:$B$116,0))),"")</f>
        <v/>
      </c>
      <c r="K55" s="9" t="n">
        <v>0.765</v>
      </c>
      <c r="L55" s="9" t="n">
        <v>0.556</v>
      </c>
      <c r="M55" s="14">
        <f>IF(OR(K55="",L55="",L55=0),"",K55/L55)</f>
        <v/>
      </c>
      <c r="N55" s="9" t="inlineStr"/>
      <c r="O55" s="9">
        <f>IF(B55=0,"基准",IF(C55=6,"6 级专精：空位用完后的出路，看后期实测，不和多放基础塔比",IF(AND(N55&lt;&gt;"",I55&lt;0.85),"功能型：单看输出偏低属正常",IF(I55&gt;=0.85,"划算",IF(I55&gt;=0.65,"略亏：空位紧张时仍值得","偏亏：建议降价或加强")))))</f>
        <v/>
      </c>
    </row>
    <row r="56">
      <c r="A56" s="9" t="inlineStr">
        <is>
          <t>frost</t>
        </is>
      </c>
      <c r="B56" s="9" t="n">
        <v>3</v>
      </c>
      <c r="C56" s="9" t="n">
        <v>3</v>
      </c>
      <c r="D56" s="9" t="inlineStr">
        <is>
          <t>击退</t>
        </is>
      </c>
      <c r="E56" s="9" t="n">
        <v>300</v>
      </c>
      <c r="F56" s="9" t="n">
        <v>590</v>
      </c>
      <c r="G56" s="9" t="n">
        <v>5.76</v>
      </c>
      <c r="H56" s="14">
        <f>G56/F56*100</f>
        <v/>
      </c>
      <c r="I56" s="14">
        <f>IFERROR((G56/F56)/(SUMIFS($G$3:$G$116,$A$3:$A$116,A56,$B$3:$B$116,0)/SUMIFS($F$3:$F$116,$A$3:$A$116,A56,$B$3:$B$116,0)),"")</f>
        <v/>
      </c>
      <c r="J56" s="14">
        <f>IFERROR(IF(B56=0,1,IF(C56&lt;=1,G56-SUMIFS($G$3:$G$116,$A$3:$A$116,A56,$B$3:$B$116,0),G56-G55)/E56/(SUMIFS($G$3:$G$116,$A$3:$A$116,A56,$B$3:$B$116,0)/SUMIFS($F$3:$F$116,$A$3:$A$116,A56,$B$3:$B$116,0))),"")</f>
        <v/>
      </c>
      <c r="K56" s="9" t="n">
        <v>0.796</v>
      </c>
      <c r="L56" s="9" t="n">
        <v>0.837</v>
      </c>
      <c r="M56" s="14">
        <f>IF(OR(K56="",L56="",L56=0),"",K56/L56)</f>
        <v/>
      </c>
      <c r="N56" s="9" t="inlineStr">
        <is>
          <t>击退</t>
        </is>
      </c>
      <c r="O56" s="9">
        <f>IF(B56=0,"基准",IF(C56=6,"6 级专精：空位用完后的出路，看后期实测，不和多放基础塔比",IF(AND(N56&lt;&gt;"",I56&lt;0.85),"功能型：单看输出偏低属正常",IF(I56&gt;=0.85,"划算",IF(I56&gt;=0.65,"略亏：空位紧张时仍值得","偏亏：建议降价或加强")))))</f>
        <v/>
      </c>
    </row>
    <row r="57">
      <c r="A57" s="9" t="inlineStr">
        <is>
          <t>frost</t>
        </is>
      </c>
      <c r="B57" s="9" t="n">
        <v>3</v>
      </c>
      <c r="C57" s="9" t="n">
        <v>4</v>
      </c>
      <c r="D57" s="9" t="inlineStr">
        <is>
          <t>穿透水柱</t>
        </is>
      </c>
      <c r="E57" s="9" t="n">
        <v>550</v>
      </c>
      <c r="F57" s="9" t="n">
        <v>1140</v>
      </c>
      <c r="G57" s="9" t="n">
        <v>11.94</v>
      </c>
      <c r="H57" s="14">
        <f>G57/F57*100</f>
        <v/>
      </c>
      <c r="I57" s="14">
        <f>IFERROR((G57/F57)/(SUMIFS($G$3:$G$116,$A$3:$A$116,A57,$B$3:$B$116,0)/SUMIFS($F$3:$F$116,$A$3:$A$116,A57,$B$3:$B$116,0)),"")</f>
        <v/>
      </c>
      <c r="J57" s="14">
        <f>IFERROR(IF(B57=0,1,IF(C57&lt;=1,G57-SUMIFS($G$3:$G$116,$A$3:$A$116,A57,$B$3:$B$116,0),G57-G56)/E57/(SUMIFS($G$3:$G$116,$A$3:$A$116,A57,$B$3:$B$116,0)/SUMIFS($F$3:$F$116,$A$3:$A$116,A57,$B$3:$B$116,0))),"")</f>
        <v/>
      </c>
      <c r="K57" s="9" t="n">
        <v>0.604</v>
      </c>
      <c r="L57" s="9" t="n">
        <v>0.965</v>
      </c>
      <c r="M57" s="14">
        <f>IF(OR(K57="",L57="",L57=0),"",K57/L57)</f>
        <v/>
      </c>
      <c r="N57" s="9" t="inlineStr"/>
      <c r="O57" s="9">
        <f>IF(B57=0,"基准",IF(C57=6,"6 级专精：空位用完后的出路，看后期实测，不和多放基础塔比",IF(AND(N57&lt;&gt;"",I57&lt;0.85),"功能型：单看输出偏低属正常",IF(I57&gt;=0.85,"划算",IF(I57&gt;=0.65,"略亏：空位紧张时仍值得","偏亏：建议降价或加强")))))</f>
        <v/>
      </c>
    </row>
    <row r="58">
      <c r="A58" s="9" t="inlineStr">
        <is>
          <t>frost</t>
        </is>
      </c>
      <c r="B58" s="9" t="n">
        <v>3</v>
      </c>
      <c r="C58" s="9" t="n">
        <v>5</v>
      </c>
      <c r="D58" s="9" t="inlineStr">
        <is>
          <t>强力冲洗</t>
        </is>
      </c>
      <c r="E58" s="9" t="n">
        <v>1400</v>
      </c>
      <c r="F58" s="9" t="n">
        <v>2540</v>
      </c>
      <c r="G58" s="9" t="n">
        <v>23.89</v>
      </c>
      <c r="H58" s="14">
        <f>G58/F58*100</f>
        <v/>
      </c>
      <c r="I58" s="14">
        <f>IFERROR((G58/F58)/(SUMIFS($G$3:$G$116,$A$3:$A$116,A58,$B$3:$B$116,0)/SUMIFS($F$3:$F$116,$A$3:$A$116,A58,$B$3:$B$116,0)),"")</f>
        <v/>
      </c>
      <c r="J58" s="14">
        <f>IFERROR(IF(B58=0,1,IF(C58&lt;=1,G58-SUMIFS($G$3:$G$116,$A$3:$A$116,A58,$B$3:$B$116,0),G58-G57)/E58/(SUMIFS($G$3:$G$116,$A$3:$A$116,A58,$B$3:$B$116,0)/SUMIFS($F$3:$F$116,$A$3:$A$116,A58,$B$3:$B$116,0))),"")</f>
        <v/>
      </c>
      <c r="K58" s="9" t="n"/>
      <c r="L58" s="9" t="n"/>
      <c r="M58" s="14">
        <f>IF(OR(K58="",L58="",L58=0),"",K58/L58)</f>
        <v/>
      </c>
      <c r="N58" s="9" t="inlineStr">
        <is>
          <t>击退</t>
        </is>
      </c>
      <c r="O58" s="9">
        <f>IF(B58=0,"基准",IF(C58=6,"6 级专精：空位用完后的出路，看后期实测，不和多放基础塔比",IF(AND(N58&lt;&gt;"",I58&lt;0.85),"功能型：单看输出偏低属正常",IF(I58&gt;=0.85,"划算",IF(I58&gt;=0.65,"略亏：空位紧张时仍值得","偏亏：建议降价或加强")))))</f>
        <v/>
      </c>
    </row>
    <row r="59">
      <c r="A59" s="9" t="inlineStr">
        <is>
          <t>frost</t>
        </is>
      </c>
      <c r="B59" s="9" t="n">
        <v>3</v>
      </c>
      <c r="C59" s="9" t="n">
        <v>6</v>
      </c>
      <c r="D59" s="9" t="inlineStr">
        <is>
          <t>高压冲洗车</t>
        </is>
      </c>
      <c r="E59" s="9" t="n">
        <v>3400</v>
      </c>
      <c r="F59" s="9" t="n">
        <v>5940</v>
      </c>
      <c r="G59" s="9" t="n">
        <v>71.66</v>
      </c>
      <c r="H59" s="14">
        <f>G59/F59*100</f>
        <v/>
      </c>
      <c r="I59" s="14">
        <f>IFERROR((G59/F59)/(SUMIFS($G$3:$G$116,$A$3:$A$116,A59,$B$3:$B$116,0)/SUMIFS($F$3:$F$116,$A$3:$A$116,A59,$B$3:$B$116,0)),"")</f>
        <v/>
      </c>
      <c r="J59" s="14">
        <f>IFERROR(IF(B59=0,1,IF(C59&lt;=1,G59-SUMIFS($G$3:$G$116,$A$3:$A$116,A59,$B$3:$B$116,0),G59-G58)/E59/(SUMIFS($G$3:$G$116,$A$3:$A$116,A59,$B$3:$B$116,0)/SUMIFS($F$3:$F$116,$A$3:$A$116,A59,$B$3:$B$116,0))),"")</f>
        <v/>
      </c>
      <c r="K59" s="9" t="n"/>
      <c r="L59" s="9" t="n"/>
      <c r="M59" s="14">
        <f>IF(OR(K59="",L59="",L59=0),"",K59/L59)</f>
        <v/>
      </c>
      <c r="N59" s="9" t="inlineStr">
        <is>
          <t>击退</t>
        </is>
      </c>
      <c r="O59" s="9">
        <f>IF(B59=0,"基准",IF(C59=6,"6 级专精：空位用完后的出路，看后期实测，不和多放基础塔比",IF(AND(N59&lt;&gt;"",I59&lt;0.85),"功能型：单看输出偏低属正常",IF(I59&gt;=0.85,"划算",IF(I59&gt;=0.65,"略亏：空位紧张时仍值得","偏亏：建议降价或加强")))))</f>
        <v/>
      </c>
    </row>
    <row r="60">
      <c r="A60" s="9" t="inlineStr">
        <is>
          <t>truck</t>
        </is>
      </c>
      <c r="B60" s="9" t="n">
        <v>0</v>
      </c>
      <c r="C60" s="9" t="n">
        <v>0</v>
      </c>
      <c r="D60" s="9" t="inlineStr">
        <is>
          <t>基础</t>
        </is>
      </c>
      <c r="E60" s="9" t="n">
        <v>200</v>
      </c>
      <c r="F60" s="9" t="n">
        <v>200</v>
      </c>
      <c r="G60" s="9" t="n">
        <v>3.64</v>
      </c>
      <c r="H60" s="14">
        <f>G60/F60*100</f>
        <v/>
      </c>
      <c r="I60" s="14">
        <f>IFERROR((G60/F60)/(SUMIFS($G$3:$G$116,$A$3:$A$116,A60,$B$3:$B$116,0)/SUMIFS($F$3:$F$116,$A$3:$A$116,A60,$B$3:$B$116,0)),"")</f>
        <v/>
      </c>
      <c r="J60" s="14">
        <f>IFERROR(IF(B60=0,1,IF(C60&lt;=1,G60-SUMIFS($G$3:$G$116,$A$3:$A$116,A60,$B$3:$B$116,0),G60-G59)/E60/(SUMIFS($G$3:$G$116,$A$3:$A$116,A60,$B$3:$B$116,0)/SUMIFS($F$3:$F$116,$A$3:$A$116,A60,$B$3:$B$116,0))),"")</f>
        <v/>
      </c>
      <c r="K60" s="9" t="n"/>
      <c r="L60" s="9" t="n"/>
      <c r="M60" s="14">
        <f>IF(OR(K60="",L60="",L60=0),"",K60/L60)</f>
        <v/>
      </c>
      <c r="N60" s="9" t="inlineStr"/>
      <c r="O60" s="9">
        <f>IF(B60=0,"基准",IF(C60=6,"6 级专精：空位用完后的出路，看后期实测，不和多放基础塔比",IF(AND(N60&lt;&gt;"",I60&lt;0.85),"功能型：单看输出偏低属正常",IF(I60&gt;=0.85,"划算",IF(I60&gt;=0.65,"略亏：空位紧张时仍值得","偏亏：建议降价或加强")))))</f>
        <v/>
      </c>
    </row>
    <row r="61">
      <c r="A61" s="9" t="inlineStr">
        <is>
          <t>truck</t>
        </is>
      </c>
      <c r="B61" s="9" t="n">
        <v>1</v>
      </c>
      <c r="C61" s="9" t="n">
        <v>1</v>
      </c>
      <c r="D61" s="9" t="inlineStr">
        <is>
          <t>加长水管</t>
        </is>
      </c>
      <c r="E61" s="9" t="n">
        <v>60</v>
      </c>
      <c r="F61" s="9" t="n">
        <v>260</v>
      </c>
      <c r="G61" s="9" t="n">
        <v>4.36</v>
      </c>
      <c r="H61" s="14">
        <f>G61/F61*100</f>
        <v/>
      </c>
      <c r="I61" s="14">
        <f>IFERROR((G61/F61)/(SUMIFS($G$3:$G$116,$A$3:$A$116,A61,$B$3:$B$116,0)/SUMIFS($F$3:$F$116,$A$3:$A$116,A61,$B$3:$B$116,0)),"")</f>
        <v/>
      </c>
      <c r="J61" s="14">
        <f>IFERROR(IF(B61=0,1,IF(C61&lt;=1,G61-SUMIFS($G$3:$G$116,$A$3:$A$116,A61,$B$3:$B$116,0),G61-G60)/E61/(SUMIFS($G$3:$G$116,$A$3:$A$116,A61,$B$3:$B$116,0)/SUMIFS($F$3:$F$116,$A$3:$A$116,A61,$B$3:$B$116,0))),"")</f>
        <v/>
      </c>
      <c r="K61" s="9" t="n"/>
      <c r="L61" s="9" t="n"/>
      <c r="M61" s="14">
        <f>IF(OR(K61="",L61="",L61=0),"",K61/L61)</f>
        <v/>
      </c>
      <c r="N61" s="9" t="inlineStr">
        <is>
          <t>活动范围</t>
        </is>
      </c>
      <c r="O61" s="9">
        <f>IF(B61=0,"基准",IF(C61=6,"6 级专精：空位用完后的出路，看后期实测，不和多放基础塔比",IF(AND(N61&lt;&gt;"",I61&lt;0.85),"功能型：单看输出偏低属正常",IF(I61&gt;=0.85,"划算",IF(I61&gt;=0.65,"略亏：空位紧张时仍值得","偏亏：建议降价或加强")))))</f>
        <v/>
      </c>
    </row>
    <row r="62">
      <c r="A62" s="9" t="inlineStr">
        <is>
          <t>truck</t>
        </is>
      </c>
      <c r="B62" s="9" t="n">
        <v>1</v>
      </c>
      <c r="C62" s="9" t="n">
        <v>2</v>
      </c>
      <c r="D62" s="9" t="inlineStr">
        <is>
          <t>大马力</t>
        </is>
      </c>
      <c r="E62" s="9" t="n">
        <v>90</v>
      </c>
      <c r="F62" s="9" t="n">
        <v>350</v>
      </c>
      <c r="G62" s="9" t="n">
        <v>4.36</v>
      </c>
      <c r="H62" s="14">
        <f>G62/F62*100</f>
        <v/>
      </c>
      <c r="I62" s="14">
        <f>IFERROR((G62/F62)/(SUMIFS($G$3:$G$116,$A$3:$A$116,A62,$B$3:$B$116,0)/SUMIFS($F$3:$F$116,$A$3:$A$116,A62,$B$3:$B$116,0)),"")</f>
        <v/>
      </c>
      <c r="J62" s="14">
        <f>IFERROR(IF(B62=0,1,IF(C62&lt;=1,G62-SUMIFS($G$3:$G$116,$A$3:$A$116,A62,$B$3:$B$116,0),G62-G61)/E62/(SUMIFS($G$3:$G$116,$A$3:$A$116,A62,$B$3:$B$116,0)/SUMIFS($F$3:$F$116,$A$3:$A$116,A62,$B$3:$B$116,0))),"")</f>
        <v/>
      </c>
      <c r="K62" s="9" t="n"/>
      <c r="L62" s="9" t="n"/>
      <c r="M62" s="14">
        <f>IF(OR(K62="",L62="",L62=0),"",K62/L62)</f>
        <v/>
      </c>
      <c r="N62" s="9" t="inlineStr">
        <is>
          <t>车速</t>
        </is>
      </c>
      <c r="O62" s="9">
        <f>IF(B62=0,"基准",IF(C62=6,"6 级专精：空位用完后的出路，看后期实测，不和多放基础塔比",IF(AND(N62&lt;&gt;"",I62&lt;0.85),"功能型：单看输出偏低属正常",IF(I62&gt;=0.85,"划算",IF(I62&gt;=0.65,"略亏：空位紧张时仍值得","偏亏：建议降价或加强")))))</f>
        <v/>
      </c>
    </row>
    <row r="63">
      <c r="A63" s="9" t="inlineStr">
        <is>
          <t>truck</t>
        </is>
      </c>
      <c r="B63" s="9" t="n">
        <v>1</v>
      </c>
      <c r="C63" s="9" t="n">
        <v>3</v>
      </c>
      <c r="D63" s="9" t="inlineStr">
        <is>
          <t>双侧喷头</t>
        </is>
      </c>
      <c r="E63" s="9" t="n">
        <v>300</v>
      </c>
      <c r="F63" s="9" t="n">
        <v>650</v>
      </c>
      <c r="G63" s="9" t="n">
        <v>6.71</v>
      </c>
      <c r="H63" s="14">
        <f>G63/F63*100</f>
        <v/>
      </c>
      <c r="I63" s="14">
        <f>IFERROR((G63/F63)/(SUMIFS($G$3:$G$116,$A$3:$A$116,A63,$B$3:$B$116,0)/SUMIFS($F$3:$F$116,$A$3:$A$116,A63,$B$3:$B$116,0)),"")</f>
        <v/>
      </c>
      <c r="J63" s="14">
        <f>IFERROR(IF(B63=0,1,IF(C63&lt;=1,G63-SUMIFS($G$3:$G$116,$A$3:$A$116,A63,$B$3:$B$116,0),G63-G62)/E63/(SUMIFS($G$3:$G$116,$A$3:$A$116,A63,$B$3:$B$116,0)/SUMIFS($F$3:$F$116,$A$3:$A$116,A63,$B$3:$B$116,0))),"")</f>
        <v/>
      </c>
      <c r="K63" s="9" t="n"/>
      <c r="L63" s="9" t="n"/>
      <c r="M63" s="14">
        <f>IF(OR(K63="",L63="",L63=0),"",K63/L63)</f>
        <v/>
      </c>
      <c r="N63" s="9" t="inlineStr"/>
      <c r="O63" s="9">
        <f>IF(B63=0,"基准",IF(C63=6,"6 级专精：空位用完后的出路，看后期实测，不和多放基础塔比",IF(AND(N63&lt;&gt;"",I63&lt;0.85),"功能型：单看输出偏低属正常",IF(I63&gt;=0.85,"划算",IF(I63&gt;=0.65,"略亏：空位紧张时仍值得","偏亏：建议降价或加强")))))</f>
        <v/>
      </c>
    </row>
    <row r="64">
      <c r="A64" s="9" t="inlineStr">
        <is>
          <t>truck</t>
        </is>
      </c>
      <c r="B64" s="9" t="n">
        <v>1</v>
      </c>
      <c r="C64" s="9" t="n">
        <v>4</v>
      </c>
      <c r="D64" s="9" t="inlineStr">
        <is>
          <t>环卫编组</t>
        </is>
      </c>
      <c r="E64" s="9" t="n">
        <v>650</v>
      </c>
      <c r="F64" s="9" t="n">
        <v>1300</v>
      </c>
      <c r="G64" s="9" t="n">
        <v>10.5</v>
      </c>
      <c r="H64" s="14">
        <f>G64/F64*100</f>
        <v/>
      </c>
      <c r="I64" s="14">
        <f>IFERROR((G64/F64)/(SUMIFS($G$3:$G$116,$A$3:$A$116,A64,$B$3:$B$116,0)/SUMIFS($F$3:$F$116,$A$3:$A$116,A64,$B$3:$B$116,0)),"")</f>
        <v/>
      </c>
      <c r="J64" s="14">
        <f>IFERROR(IF(B64=0,1,IF(C64&lt;=1,G64-SUMIFS($G$3:$G$116,$A$3:$A$116,A64,$B$3:$B$116,0),G64-G63)/E64/(SUMIFS($G$3:$G$116,$A$3:$A$116,A64,$B$3:$B$116,0)/SUMIFS($F$3:$F$116,$A$3:$A$116,A64,$B$3:$B$116,0))),"")</f>
        <v/>
      </c>
      <c r="K64" s="9" t="n"/>
      <c r="L64" s="9" t="n"/>
      <c r="M64" s="14">
        <f>IF(OR(K64="",L64="",L64=0),"",K64/L64)</f>
        <v/>
      </c>
      <c r="N64" s="9" t="inlineStr">
        <is>
          <t>减速、活动范围</t>
        </is>
      </c>
      <c r="O64" s="9">
        <f>IF(B64=0,"基准",IF(C64=6,"6 级专精：空位用完后的出路，看后期实测，不和多放基础塔比",IF(AND(N64&lt;&gt;"",I64&lt;0.85),"功能型：单看输出偏低属正常",IF(I64&gt;=0.85,"划算",IF(I64&gt;=0.65,"略亏：空位紧张时仍值得","偏亏：建议降价或加强")))))</f>
        <v/>
      </c>
    </row>
    <row r="65">
      <c r="A65" s="9" t="inlineStr">
        <is>
          <t>truck</t>
        </is>
      </c>
      <c r="B65" s="9" t="n">
        <v>1</v>
      </c>
      <c r="C65" s="9" t="n">
        <v>5</v>
      </c>
      <c r="D65" s="9" t="inlineStr">
        <is>
          <t>夜班加班</t>
        </is>
      </c>
      <c r="E65" s="9" t="n">
        <v>1400</v>
      </c>
      <c r="F65" s="9" t="n">
        <v>2700</v>
      </c>
      <c r="G65" s="9" t="n">
        <v>21.66</v>
      </c>
      <c r="H65" s="14">
        <f>G65/F65*100</f>
        <v/>
      </c>
      <c r="I65" s="14">
        <f>IFERROR((G65/F65)/(SUMIFS($G$3:$G$116,$A$3:$A$116,A65,$B$3:$B$116,0)/SUMIFS($F$3:$F$116,$A$3:$A$116,A65,$B$3:$B$116,0)),"")</f>
        <v/>
      </c>
      <c r="J65" s="14">
        <f>IFERROR(IF(B65=0,1,IF(C65&lt;=1,G65-SUMIFS($G$3:$G$116,$A$3:$A$116,A65,$B$3:$B$116,0),G65-G64)/E65/(SUMIFS($G$3:$G$116,$A$3:$A$116,A65,$B$3:$B$116,0)/SUMIFS($F$3:$F$116,$A$3:$A$116,A65,$B$3:$B$116,0))),"")</f>
        <v/>
      </c>
      <c r="K65" s="9" t="n"/>
      <c r="L65" s="9" t="n"/>
      <c r="M65" s="14">
        <f>IF(OR(K65="",L65="",L65=0),"",K65/L65)</f>
        <v/>
      </c>
      <c r="N65" s="9" t="inlineStr">
        <is>
          <t>减速</t>
        </is>
      </c>
      <c r="O65" s="9">
        <f>IF(B65=0,"基准",IF(C65=6,"6 级专精：空位用完后的出路，看后期实测，不和多放基础塔比",IF(AND(N65&lt;&gt;"",I65&lt;0.85),"功能型：单看输出偏低属正常",IF(I65&gt;=0.85,"划算",IF(I65&gt;=0.65,"略亏：空位紧张时仍值得","偏亏：建议降价或加强")))))</f>
        <v/>
      </c>
    </row>
    <row r="66">
      <c r="A66" s="9" t="inlineStr">
        <is>
          <t>truck</t>
        </is>
      </c>
      <c r="B66" s="9" t="n">
        <v>1</v>
      </c>
      <c r="C66" s="9" t="n">
        <v>6</v>
      </c>
      <c r="D66" s="9" t="inlineStr">
        <is>
          <t>暴雨洒水车</t>
        </is>
      </c>
      <c r="E66" s="9" t="n">
        <v>3400</v>
      </c>
      <c r="F66" s="9" t="n">
        <v>6100</v>
      </c>
      <c r="G66" s="9" t="n">
        <v>51.2</v>
      </c>
      <c r="H66" s="14">
        <f>G66/F66*100</f>
        <v/>
      </c>
      <c r="I66" s="14">
        <f>IFERROR((G66/F66)/(SUMIFS($G$3:$G$116,$A$3:$A$116,A66,$B$3:$B$116,0)/SUMIFS($F$3:$F$116,$A$3:$A$116,A66,$B$3:$B$116,0)),"")</f>
        <v/>
      </c>
      <c r="J66" s="14">
        <f>IFERROR(IF(B66=0,1,IF(C66&lt;=1,G66-SUMIFS($G$3:$G$116,$A$3:$A$116,A66,$B$3:$B$116,0),G66-G65)/E66/(SUMIFS($G$3:$G$116,$A$3:$A$116,A66,$B$3:$B$116,0)/SUMIFS($F$3:$F$116,$A$3:$A$116,A66,$B$3:$B$116,0))),"")</f>
        <v/>
      </c>
      <c r="K66" s="9" t="n"/>
      <c r="L66" s="9" t="n"/>
      <c r="M66" s="14">
        <f>IF(OR(K66="",L66="",L66=0),"",K66/L66)</f>
        <v/>
      </c>
      <c r="N66" s="9" t="inlineStr">
        <is>
          <t>减速、活动范围</t>
        </is>
      </c>
      <c r="O66" s="9">
        <f>IF(B66=0,"基准",IF(C66=6,"6 级专精：空位用完后的出路，看后期实测，不和多放基础塔比",IF(AND(N66&lt;&gt;"",I66&lt;0.85),"功能型：单看输出偏低属正常",IF(I66&gt;=0.85,"划算",IF(I66&gt;=0.65,"略亏：空位紧张时仍值得","偏亏：建议降价或加强")))))</f>
        <v/>
      </c>
    </row>
    <row r="67">
      <c r="A67" s="9" t="inlineStr">
        <is>
          <t>truck</t>
        </is>
      </c>
      <c r="B67" s="9" t="n">
        <v>2</v>
      </c>
      <c r="C67" s="9" t="n">
        <v>1</v>
      </c>
      <c r="D67" s="9" t="inlineStr">
        <is>
          <t>冰水罐</t>
        </is>
      </c>
      <c r="E67" s="9" t="n">
        <v>50</v>
      </c>
      <c r="F67" s="9" t="n">
        <v>250</v>
      </c>
      <c r="G67" s="9" t="n">
        <v>3.64</v>
      </c>
      <c r="H67" s="14">
        <f>G67/F67*100</f>
        <v/>
      </c>
      <c r="I67" s="14">
        <f>IFERROR((G67/F67)/(SUMIFS($G$3:$G$116,$A$3:$A$116,A67,$B$3:$B$116,0)/SUMIFS($F$3:$F$116,$A$3:$A$116,A67,$B$3:$B$116,0)),"")</f>
        <v/>
      </c>
      <c r="J67" s="14">
        <f>IFERROR(IF(B67=0,1,IF(C67&lt;=1,G67-SUMIFS($G$3:$G$116,$A$3:$A$116,A67,$B$3:$B$116,0),G67-G66)/E67/(SUMIFS($G$3:$G$116,$A$3:$A$116,A67,$B$3:$B$116,0)/SUMIFS($F$3:$F$116,$A$3:$A$116,A67,$B$3:$B$116,0))),"")</f>
        <v/>
      </c>
      <c r="K67" s="9" t="n"/>
      <c r="L67" s="9" t="n"/>
      <c r="M67" s="14">
        <f>IF(OR(K67="",L67="",L67=0),"",K67/L67)</f>
        <v/>
      </c>
      <c r="N67" s="9" t="inlineStr">
        <is>
          <t>减速</t>
        </is>
      </c>
      <c r="O67" s="9">
        <f>IF(B67=0,"基准",IF(C67=6,"6 级专精：空位用完后的出路，看后期实测，不和多放基础塔比",IF(AND(N67&lt;&gt;"",I67&lt;0.85),"功能型：单看输出偏低属正常",IF(I67&gt;=0.85,"划算",IF(I67&gt;=0.65,"略亏：空位紧张时仍值得","偏亏：建议降价或加强")))))</f>
        <v/>
      </c>
    </row>
    <row r="68">
      <c r="A68" s="9" t="inlineStr">
        <is>
          <t>truck</t>
        </is>
      </c>
      <c r="B68" s="9" t="n">
        <v>2</v>
      </c>
      <c r="C68" s="9" t="n">
        <v>2</v>
      </c>
      <c r="D68" s="9" t="inlineStr">
        <is>
          <t>积霜</t>
        </is>
      </c>
      <c r="E68" s="9" t="n">
        <v>85</v>
      </c>
      <c r="F68" s="9" t="n">
        <v>335</v>
      </c>
      <c r="G68" s="9" t="n">
        <v>3.64</v>
      </c>
      <c r="H68" s="14">
        <f>G68/F68*100</f>
        <v/>
      </c>
      <c r="I68" s="14">
        <f>IFERROR((G68/F68)/(SUMIFS($G$3:$G$116,$A$3:$A$116,A68,$B$3:$B$116,0)/SUMIFS($F$3:$F$116,$A$3:$A$116,A68,$B$3:$B$116,0)),"")</f>
        <v/>
      </c>
      <c r="J68" s="14">
        <f>IFERROR(IF(B68=0,1,IF(C68&lt;=1,G68-SUMIFS($G$3:$G$116,$A$3:$A$116,A68,$B$3:$B$116,0),G68-G67)/E68/(SUMIFS($G$3:$G$116,$A$3:$A$116,A68,$B$3:$B$116,0)/SUMIFS($F$3:$F$116,$A$3:$A$116,A68,$B$3:$B$116,0))),"")</f>
        <v/>
      </c>
      <c r="K68" s="9" t="n"/>
      <c r="L68" s="9" t="n"/>
      <c r="M68" s="14">
        <f>IF(OR(K68="",L68="",L68=0),"",K68/L68)</f>
        <v/>
      </c>
      <c r="N68" s="9" t="inlineStr">
        <is>
          <t>减速</t>
        </is>
      </c>
      <c r="O68" s="9">
        <f>IF(B68=0,"基准",IF(C68=6,"6 级专精：空位用完后的出路，看后期实测，不和多放基础塔比",IF(AND(N68&lt;&gt;"",I68&lt;0.85),"功能型：单看输出偏低属正常",IF(I68&gt;=0.85,"划算",IF(I68&gt;=0.65,"略亏：空位紧张时仍值得","偏亏：建议降价或加强")))))</f>
        <v/>
      </c>
    </row>
    <row r="69">
      <c r="A69" s="9" t="inlineStr">
        <is>
          <t>truck</t>
        </is>
      </c>
      <c r="B69" s="9" t="n">
        <v>2</v>
      </c>
      <c r="C69" s="9" t="n">
        <v>3</v>
      </c>
      <c r="D69" s="9" t="inlineStr">
        <is>
          <t>积霜冻结</t>
        </is>
      </c>
      <c r="E69" s="9" t="n">
        <v>320</v>
      </c>
      <c r="F69" s="9" t="n">
        <v>655</v>
      </c>
      <c r="G69" s="9" t="n">
        <v>3.64</v>
      </c>
      <c r="H69" s="14">
        <f>G69/F69*100</f>
        <v/>
      </c>
      <c r="I69" s="14">
        <f>IFERROR((G69/F69)/(SUMIFS($G$3:$G$116,$A$3:$A$116,A69,$B$3:$B$116,0)/SUMIFS($F$3:$F$116,$A$3:$A$116,A69,$B$3:$B$116,0)),"")</f>
        <v/>
      </c>
      <c r="J69" s="14">
        <f>IFERROR(IF(B69=0,1,IF(C69&lt;=1,G69-SUMIFS($G$3:$G$116,$A$3:$A$116,A69,$B$3:$B$116,0),G69-G68)/E69/(SUMIFS($G$3:$G$116,$A$3:$A$116,A69,$B$3:$B$116,0)/SUMIFS($F$3:$F$116,$A$3:$A$116,A69,$B$3:$B$116,0))),"")</f>
        <v/>
      </c>
      <c r="K69" s="9" t="n"/>
      <c r="L69" s="9" t="n"/>
      <c r="M69" s="14">
        <f>IF(OR(K69="",L69="",L69=0),"",K69/L69)</f>
        <v/>
      </c>
      <c r="N69" s="9" t="inlineStr">
        <is>
          <t>冻结</t>
        </is>
      </c>
      <c r="O69" s="9">
        <f>IF(B69=0,"基准",IF(C69=6,"6 级专精：空位用完后的出路，看后期实测，不和多放基础塔比",IF(AND(N69&lt;&gt;"",I69&lt;0.85),"功能型：单看输出偏低属正常",IF(I69&gt;=0.85,"划算",IF(I69&gt;=0.65,"略亏：空位紧张时仍值得","偏亏：建议降价或加强")))))</f>
        <v/>
      </c>
    </row>
    <row r="70">
      <c r="A70" s="9" t="inlineStr">
        <is>
          <t>truck</t>
        </is>
      </c>
      <c r="B70" s="9" t="n">
        <v>2</v>
      </c>
      <c r="C70" s="9" t="n">
        <v>4</v>
      </c>
      <c r="D70" s="9" t="inlineStr">
        <is>
          <t>快速积霜</t>
        </is>
      </c>
      <c r="E70" s="9" t="n">
        <v>680</v>
      </c>
      <c r="F70" s="9" t="n">
        <v>1335</v>
      </c>
      <c r="G70" s="9" t="n">
        <v>3.64</v>
      </c>
      <c r="H70" s="14">
        <f>G70/F70*100</f>
        <v/>
      </c>
      <c r="I70" s="14">
        <f>IFERROR((G70/F70)/(SUMIFS($G$3:$G$116,$A$3:$A$116,A70,$B$3:$B$116,0)/SUMIFS($F$3:$F$116,$A$3:$A$116,A70,$B$3:$B$116,0)),"")</f>
        <v/>
      </c>
      <c r="J70" s="14">
        <f>IFERROR(IF(B70=0,1,IF(C70&lt;=1,G70-SUMIFS($G$3:$G$116,$A$3:$A$116,A70,$B$3:$B$116,0),G70-G69)/E70/(SUMIFS($G$3:$G$116,$A$3:$A$116,A70,$B$3:$B$116,0)/SUMIFS($F$3:$F$116,$A$3:$A$116,A70,$B$3:$B$116,0))),"")</f>
        <v/>
      </c>
      <c r="K70" s="9" t="n"/>
      <c r="L70" s="9" t="n"/>
      <c r="M70" s="14">
        <f>IF(OR(K70="",L70="",L70=0),"",K70/L70)</f>
        <v/>
      </c>
      <c r="N70" s="9" t="inlineStr"/>
      <c r="O70" s="9">
        <f>IF(B70=0,"基准",IF(C70=6,"6 级专精：空位用完后的出路，看后期实测，不和多放基础塔比",IF(AND(N70&lt;&gt;"",I70&lt;0.85),"功能型：单看输出偏低属正常",IF(I70&gt;=0.85,"划算",IF(I70&gt;=0.65,"略亏：空位紧张时仍值得","偏亏：建议降价或加强")))))</f>
        <v/>
      </c>
    </row>
    <row r="71">
      <c r="A71" s="9" t="inlineStr">
        <is>
          <t>truck</t>
        </is>
      </c>
      <c r="B71" s="9" t="n">
        <v>2</v>
      </c>
      <c r="C71" s="9" t="n">
        <v>5</v>
      </c>
      <c r="D71" s="9" t="inlineStr">
        <is>
          <t>群体冻结</t>
        </is>
      </c>
      <c r="E71" s="9" t="n">
        <v>1450</v>
      </c>
      <c r="F71" s="9" t="n">
        <v>2785</v>
      </c>
      <c r="G71" s="9" t="n">
        <v>3.64</v>
      </c>
      <c r="H71" s="14">
        <f>G71/F71*100</f>
        <v/>
      </c>
      <c r="I71" s="14">
        <f>IFERROR((G71/F71)/(SUMIFS($G$3:$G$116,$A$3:$A$116,A71,$B$3:$B$116,0)/SUMIFS($F$3:$F$116,$A$3:$A$116,A71,$B$3:$B$116,0)),"")</f>
        <v/>
      </c>
      <c r="J71" s="14">
        <f>IFERROR(IF(B71=0,1,IF(C71&lt;=1,G71-SUMIFS($G$3:$G$116,$A$3:$A$116,A71,$B$3:$B$116,0),G71-G70)/E71/(SUMIFS($G$3:$G$116,$A$3:$A$116,A71,$B$3:$B$116,0)/SUMIFS($F$3:$F$116,$A$3:$A$116,A71,$B$3:$B$116,0))),"")</f>
        <v/>
      </c>
      <c r="K71" s="9" t="n"/>
      <c r="L71" s="9" t="n"/>
      <c r="M71" s="14">
        <f>IF(OR(K71="",L71="",L71=0),"",K71/L71)</f>
        <v/>
      </c>
      <c r="N71" s="9" t="inlineStr">
        <is>
          <t>冻结</t>
        </is>
      </c>
      <c r="O71" s="9">
        <f>IF(B71=0,"基准",IF(C71=6,"6 级专精：空位用完后的出路，看后期实测，不和多放基础塔比",IF(AND(N71&lt;&gt;"",I71&lt;0.85),"功能型：单看输出偏低属正常",IF(I71&gt;=0.85,"划算",IF(I71&gt;=0.65,"略亏：空位紧张时仍值得","偏亏：建议降价或加强")))))</f>
        <v/>
      </c>
    </row>
    <row r="72">
      <c r="A72" s="9" t="inlineStr">
        <is>
          <t>truck</t>
        </is>
      </c>
      <c r="B72" s="9" t="n">
        <v>2</v>
      </c>
      <c r="C72" s="9" t="n">
        <v>6</v>
      </c>
      <c r="D72" s="9" t="inlineStr">
        <is>
          <t>冷链冰车</t>
        </is>
      </c>
      <c r="E72" s="9" t="n">
        <v>3500</v>
      </c>
      <c r="F72" s="9" t="n">
        <v>6285</v>
      </c>
      <c r="G72" s="9" t="n">
        <v>15.77</v>
      </c>
      <c r="H72" s="14">
        <f>G72/F72*100</f>
        <v/>
      </c>
      <c r="I72" s="14">
        <f>IFERROR((G72/F72)/(SUMIFS($G$3:$G$116,$A$3:$A$116,A72,$B$3:$B$116,0)/SUMIFS($F$3:$F$116,$A$3:$A$116,A72,$B$3:$B$116,0)),"")</f>
        <v/>
      </c>
      <c r="J72" s="14">
        <f>IFERROR(IF(B72=0,1,IF(C72&lt;=1,G72-SUMIFS($G$3:$G$116,$A$3:$A$116,A72,$B$3:$B$116,0),G72-G71)/E72/(SUMIFS($G$3:$G$116,$A$3:$A$116,A72,$B$3:$B$116,0)/SUMIFS($F$3:$F$116,$A$3:$A$116,A72,$B$3:$B$116,0))),"")</f>
        <v/>
      </c>
      <c r="K72" s="9" t="n"/>
      <c r="L72" s="9" t="n"/>
      <c r="M72" s="14">
        <f>IF(OR(K72="",L72="",L72=0),"",K72/L72)</f>
        <v/>
      </c>
      <c r="N72" s="9" t="inlineStr">
        <is>
          <t>全场冻结、易伤</t>
        </is>
      </c>
      <c r="O72" s="9">
        <f>IF(B72=0,"基准",IF(C72=6,"6 级专精：空位用完后的出路，看后期实测，不和多放基础塔比",IF(AND(N72&lt;&gt;"",I72&lt;0.85),"功能型：单看输出偏低属正常",IF(I72&gt;=0.85,"划算",IF(I72&gt;=0.65,"略亏：空位紧张时仍值得","偏亏：建议降价或加强")))))</f>
        <v/>
      </c>
    </row>
    <row r="73">
      <c r="A73" s="9" t="inlineStr">
        <is>
          <t>truck</t>
        </is>
      </c>
      <c r="B73" s="9" t="n">
        <v>3</v>
      </c>
      <c r="C73" s="9" t="n">
        <v>1</v>
      </c>
      <c r="D73" s="9" t="inlineStr">
        <is>
          <t>加压</t>
        </is>
      </c>
      <c r="E73" s="9" t="n">
        <v>65</v>
      </c>
      <c r="F73" s="9" t="n">
        <v>265</v>
      </c>
      <c r="G73" s="9" t="n">
        <v>4.47</v>
      </c>
      <c r="H73" s="14">
        <f>G73/F73*100</f>
        <v/>
      </c>
      <c r="I73" s="14">
        <f>IFERROR((G73/F73)/(SUMIFS($G$3:$G$116,$A$3:$A$116,A73,$B$3:$B$116,0)/SUMIFS($F$3:$F$116,$A$3:$A$116,A73,$B$3:$B$116,0)),"")</f>
        <v/>
      </c>
      <c r="J73" s="14">
        <f>IFERROR(IF(B73=0,1,IF(C73&lt;=1,G73-SUMIFS($G$3:$G$116,$A$3:$A$116,A73,$B$3:$B$116,0),G73-G72)/E73/(SUMIFS($G$3:$G$116,$A$3:$A$116,A73,$B$3:$B$116,0)/SUMIFS($F$3:$F$116,$A$3:$A$116,A73,$B$3:$B$116,0))),"")</f>
        <v/>
      </c>
      <c r="K73" s="9" t="n"/>
      <c r="L73" s="9" t="n"/>
      <c r="M73" s="14">
        <f>IF(OR(K73="",L73="",L73=0),"",K73/L73)</f>
        <v/>
      </c>
      <c r="N73" s="9" t="inlineStr"/>
      <c r="O73" s="9">
        <f>IF(B73=0,"基准",IF(C73=6,"6 级专精：空位用完后的出路，看后期实测，不和多放基础塔比",IF(AND(N73&lt;&gt;"",I73&lt;0.85),"功能型：单看输出偏低属正常",IF(I73&gt;=0.85,"划算",IF(I73&gt;=0.65,"略亏：空位紧张时仍值得","偏亏：建议降价或加强")))))</f>
        <v/>
      </c>
    </row>
    <row r="74">
      <c r="A74" s="9" t="inlineStr">
        <is>
          <t>truck</t>
        </is>
      </c>
      <c r="B74" s="9" t="n">
        <v>3</v>
      </c>
      <c r="C74" s="9" t="n">
        <v>2</v>
      </c>
      <c r="D74" s="9" t="inlineStr">
        <is>
          <t>宽喷束</t>
        </is>
      </c>
      <c r="E74" s="9" t="n">
        <v>115</v>
      </c>
      <c r="F74" s="9" t="n">
        <v>380</v>
      </c>
      <c r="G74" s="9" t="n">
        <v>8.19</v>
      </c>
      <c r="H74" s="14">
        <f>G74/F74*100</f>
        <v/>
      </c>
      <c r="I74" s="14">
        <f>IFERROR((G74/F74)/(SUMIFS($G$3:$G$116,$A$3:$A$116,A74,$B$3:$B$116,0)/SUMIFS($F$3:$F$116,$A$3:$A$116,A74,$B$3:$B$116,0)),"")</f>
        <v/>
      </c>
      <c r="J74" s="14">
        <f>IFERROR(IF(B74=0,1,IF(C74&lt;=1,G74-SUMIFS($G$3:$G$116,$A$3:$A$116,A74,$B$3:$B$116,0),G74-G73)/E74/(SUMIFS($G$3:$G$116,$A$3:$A$116,A74,$B$3:$B$116,0)/SUMIFS($F$3:$F$116,$A$3:$A$116,A74,$B$3:$B$116,0))),"")</f>
        <v/>
      </c>
      <c r="K74" s="9" t="n"/>
      <c r="L74" s="9" t="n"/>
      <c r="M74" s="14">
        <f>IF(OR(K74="",L74="",L74=0),"",K74/L74)</f>
        <v/>
      </c>
      <c r="N74" s="9" t="inlineStr">
        <is>
          <t>车速</t>
        </is>
      </c>
      <c r="O74" s="9">
        <f>IF(B74=0,"基准",IF(C74=6,"6 级专精：空位用完后的出路，看后期实测，不和多放基础塔比",IF(AND(N74&lt;&gt;"",I74&lt;0.85),"功能型：单看输出偏低属正常",IF(I74&gt;=0.85,"划算",IF(I74&gt;=0.65,"略亏：空位紧张时仍值得","偏亏：建议降价或加强")))))</f>
        <v/>
      </c>
    </row>
    <row r="75">
      <c r="A75" s="9" t="inlineStr">
        <is>
          <t>truck</t>
        </is>
      </c>
      <c r="B75" s="9" t="n">
        <v>3</v>
      </c>
      <c r="C75" s="9" t="n">
        <v>3</v>
      </c>
      <c r="D75" s="9" t="inlineStr">
        <is>
          <t>击退</t>
        </is>
      </c>
      <c r="E75" s="9" t="n">
        <v>320</v>
      </c>
      <c r="F75" s="9" t="n">
        <v>700</v>
      </c>
      <c r="G75" s="9" t="n">
        <v>8.19</v>
      </c>
      <c r="H75" s="14">
        <f>G75/F75*100</f>
        <v/>
      </c>
      <c r="I75" s="14">
        <f>IFERROR((G75/F75)/(SUMIFS($G$3:$G$116,$A$3:$A$116,A75,$B$3:$B$116,0)/SUMIFS($F$3:$F$116,$A$3:$A$116,A75,$B$3:$B$116,0)),"")</f>
        <v/>
      </c>
      <c r="J75" s="14">
        <f>IFERROR(IF(B75=0,1,IF(C75&lt;=1,G75-SUMIFS($G$3:$G$116,$A$3:$A$116,A75,$B$3:$B$116,0),G75-G74)/E75/(SUMIFS($G$3:$G$116,$A$3:$A$116,A75,$B$3:$B$116,0)/SUMIFS($F$3:$F$116,$A$3:$A$116,A75,$B$3:$B$116,0))),"")</f>
        <v/>
      </c>
      <c r="K75" s="9" t="n"/>
      <c r="L75" s="9" t="n"/>
      <c r="M75" s="14">
        <f>IF(OR(K75="",L75="",L75=0),"",K75/L75)</f>
        <v/>
      </c>
      <c r="N75" s="9" t="inlineStr">
        <is>
          <t>击退</t>
        </is>
      </c>
      <c r="O75" s="9">
        <f>IF(B75=0,"基准",IF(C75=6,"6 级专精：空位用完后的出路，看后期实测，不和多放基础塔比",IF(AND(N75&lt;&gt;"",I75&lt;0.85),"功能型：单看输出偏低属正常",IF(I75&gt;=0.85,"划算",IF(I75&gt;=0.65,"略亏：空位紧张时仍值得","偏亏：建议降价或加强")))))</f>
        <v/>
      </c>
    </row>
    <row r="76">
      <c r="A76" s="9" t="inlineStr">
        <is>
          <t>truck</t>
        </is>
      </c>
      <c r="B76" s="9" t="n">
        <v>3</v>
      </c>
      <c r="C76" s="9" t="n">
        <v>4</v>
      </c>
      <c r="D76" s="9" t="inlineStr">
        <is>
          <t>穿透水柱</t>
        </is>
      </c>
      <c r="E76" s="9" t="n">
        <v>580</v>
      </c>
      <c r="F76" s="9" t="n">
        <v>1280</v>
      </c>
      <c r="G76" s="9" t="n">
        <v>15.46</v>
      </c>
      <c r="H76" s="14">
        <f>G76/F76*100</f>
        <v/>
      </c>
      <c r="I76" s="14">
        <f>IFERROR((G76/F76)/(SUMIFS($G$3:$G$116,$A$3:$A$116,A76,$B$3:$B$116,0)/SUMIFS($F$3:$F$116,$A$3:$A$116,A76,$B$3:$B$116,0)),"")</f>
        <v/>
      </c>
      <c r="J76" s="14">
        <f>IFERROR(IF(B76=0,1,IF(C76&lt;=1,G76-SUMIFS($G$3:$G$116,$A$3:$A$116,A76,$B$3:$B$116,0),G76-G75)/E76/(SUMIFS($G$3:$G$116,$A$3:$A$116,A76,$B$3:$B$116,0)/SUMIFS($F$3:$F$116,$A$3:$A$116,A76,$B$3:$B$116,0))),"")</f>
        <v/>
      </c>
      <c r="K76" s="9" t="n"/>
      <c r="L76" s="9" t="n"/>
      <c r="M76" s="14">
        <f>IF(OR(K76="",L76="",L76=0),"",K76/L76)</f>
        <v/>
      </c>
      <c r="N76" s="9" t="inlineStr"/>
      <c r="O76" s="9">
        <f>IF(B76=0,"基准",IF(C76=6,"6 级专精：空位用完后的出路，看后期实测，不和多放基础塔比",IF(AND(N76&lt;&gt;"",I76&lt;0.85),"功能型：单看输出偏低属正常",IF(I76&gt;=0.85,"划算",IF(I76&gt;=0.65,"略亏：空位紧张时仍值得","偏亏：建议降价或加强")))))</f>
        <v/>
      </c>
    </row>
    <row r="77">
      <c r="A77" s="9" t="inlineStr">
        <is>
          <t>truck</t>
        </is>
      </c>
      <c r="B77" s="9" t="n">
        <v>3</v>
      </c>
      <c r="C77" s="9" t="n">
        <v>5</v>
      </c>
      <c r="D77" s="9" t="inlineStr">
        <is>
          <t>强力冲洗</t>
        </is>
      </c>
      <c r="E77" s="9" t="n">
        <v>1450</v>
      </c>
      <c r="F77" s="9" t="n">
        <v>2730</v>
      </c>
      <c r="G77" s="9" t="n">
        <v>30.91</v>
      </c>
      <c r="H77" s="14">
        <f>G77/F77*100</f>
        <v/>
      </c>
      <c r="I77" s="14">
        <f>IFERROR((G77/F77)/(SUMIFS($G$3:$G$116,$A$3:$A$116,A77,$B$3:$B$116,0)/SUMIFS($F$3:$F$116,$A$3:$A$116,A77,$B$3:$B$116,0)),"")</f>
        <v/>
      </c>
      <c r="J77" s="14">
        <f>IFERROR(IF(B77=0,1,IF(C77&lt;=1,G77-SUMIFS($G$3:$G$116,$A$3:$A$116,A77,$B$3:$B$116,0),G77-G76)/E77/(SUMIFS($G$3:$G$116,$A$3:$A$116,A77,$B$3:$B$116,0)/SUMIFS($F$3:$F$116,$A$3:$A$116,A77,$B$3:$B$116,0))),"")</f>
        <v/>
      </c>
      <c r="K77" s="9" t="n"/>
      <c r="L77" s="9" t="n"/>
      <c r="M77" s="14">
        <f>IF(OR(K77="",L77="",L77=0),"",K77/L77)</f>
        <v/>
      </c>
      <c r="N77" s="9" t="inlineStr">
        <is>
          <t>击退</t>
        </is>
      </c>
      <c r="O77" s="9">
        <f>IF(B77=0,"基准",IF(C77=6,"6 级专精：空位用完后的出路，看后期实测，不和多放基础塔比",IF(AND(N77&lt;&gt;"",I77&lt;0.85),"功能型：单看输出偏低属正常",IF(I77&gt;=0.85,"划算",IF(I77&gt;=0.65,"略亏：空位紧张时仍值得","偏亏：建议降价或加强")))))</f>
        <v/>
      </c>
    </row>
    <row r="78">
      <c r="A78" s="9" t="inlineStr">
        <is>
          <t>truck</t>
        </is>
      </c>
      <c r="B78" s="9" t="n">
        <v>3</v>
      </c>
      <c r="C78" s="9" t="n">
        <v>6</v>
      </c>
      <c r="D78" s="9" t="inlineStr">
        <is>
          <t>消防水炮车</t>
        </is>
      </c>
      <c r="E78" s="9" t="n">
        <v>3500</v>
      </c>
      <c r="F78" s="9" t="n">
        <v>6230</v>
      </c>
      <c r="G78" s="9" t="n">
        <v>92.73999999999999</v>
      </c>
      <c r="H78" s="14">
        <f>G78/F78*100</f>
        <v/>
      </c>
      <c r="I78" s="14">
        <f>IFERROR((G78/F78)/(SUMIFS($G$3:$G$116,$A$3:$A$116,A78,$B$3:$B$116,0)/SUMIFS($F$3:$F$116,$A$3:$A$116,A78,$B$3:$B$116,0)),"")</f>
        <v/>
      </c>
      <c r="J78" s="14">
        <f>IFERROR(IF(B78=0,1,IF(C78&lt;=1,G78-SUMIFS($G$3:$G$116,$A$3:$A$116,A78,$B$3:$B$116,0),G78-G77)/E78/(SUMIFS($G$3:$G$116,$A$3:$A$116,A78,$B$3:$B$116,0)/SUMIFS($F$3:$F$116,$A$3:$A$116,A78,$B$3:$B$116,0))),"")</f>
        <v/>
      </c>
      <c r="K78" s="9" t="n"/>
      <c r="L78" s="9" t="n"/>
      <c r="M78" s="14">
        <f>IF(OR(K78="",L78="",L78=0),"",K78/L78)</f>
        <v/>
      </c>
      <c r="N78" s="9" t="inlineStr">
        <is>
          <t>击退</t>
        </is>
      </c>
      <c r="O78" s="9">
        <f>IF(B78=0,"基准",IF(C78=6,"6 级专精：空位用完后的出路，看后期实测，不和多放基础塔比",IF(AND(N78&lt;&gt;"",I78&lt;0.85),"功能型：单看输出偏低属正常",IF(I78&gt;=0.85,"划算",IF(I78&gt;=0.65,"略亏：空位紧张时仍值得","偏亏：建议降价或加强")))))</f>
        <v/>
      </c>
    </row>
    <row r="79">
      <c r="A79" s="9" t="inlineStr">
        <is>
          <t>sniper</t>
        </is>
      </c>
      <c r="B79" s="9" t="n">
        <v>0</v>
      </c>
      <c r="C79" s="9" t="n">
        <v>0</v>
      </c>
      <c r="D79" s="9" t="inlineStr">
        <is>
          <t>基础</t>
        </is>
      </c>
      <c r="E79" s="9" t="n">
        <v>180</v>
      </c>
      <c r="F79" s="9" t="n">
        <v>180</v>
      </c>
      <c r="G79" s="9" t="n">
        <v>4.87</v>
      </c>
      <c r="H79" s="14">
        <f>G79/F79*100</f>
        <v/>
      </c>
      <c r="I79" s="14">
        <f>IFERROR((G79/F79)/(SUMIFS($G$3:$G$116,$A$3:$A$116,A79,$B$3:$B$116,0)/SUMIFS($F$3:$F$116,$A$3:$A$116,A79,$B$3:$B$116,0)),"")</f>
        <v/>
      </c>
      <c r="J79" s="14">
        <f>IFERROR(IF(B79=0,1,IF(C79&lt;=1,G79-SUMIFS($G$3:$G$116,$A$3:$A$116,A79,$B$3:$B$116,0),G79-G78)/E79/(SUMIFS($G$3:$G$116,$A$3:$A$116,A79,$B$3:$B$116,0)/SUMIFS($F$3:$F$116,$A$3:$A$116,A79,$B$3:$B$116,0))),"")</f>
        <v/>
      </c>
      <c r="K79" s="9" t="n"/>
      <c r="L79" s="9" t="n"/>
      <c r="M79" s="14">
        <f>IF(OR(K79="",L79="",L79=0),"",K79/L79)</f>
        <v/>
      </c>
      <c r="N79" s="9" t="inlineStr"/>
      <c r="O79" s="9">
        <f>IF(B79=0,"基准",IF(C79=6,"6 级专精：空位用完后的出路，看后期实测，不和多放基础塔比",IF(AND(N79&lt;&gt;"",I79&lt;0.85),"功能型：单看输出偏低属正常",IF(I79&gt;=0.85,"划算",IF(I79&gt;=0.65,"略亏：空位紧张时仍值得","偏亏：建议降价或加强")))))</f>
        <v/>
      </c>
    </row>
    <row r="80">
      <c r="A80" s="9" t="inlineStr">
        <is>
          <t>sniper</t>
        </is>
      </c>
      <c r="B80" s="9" t="n">
        <v>1</v>
      </c>
      <c r="C80" s="9" t="n">
        <v>1</v>
      </c>
      <c r="D80" s="9" t="inlineStr">
        <is>
          <t>快速飞行</t>
        </is>
      </c>
      <c r="E80" s="9" t="n">
        <v>60</v>
      </c>
      <c r="F80" s="9" t="n">
        <v>240</v>
      </c>
      <c r="G80" s="9" t="n">
        <v>5.73</v>
      </c>
      <c r="H80" s="14">
        <f>G80/F80*100</f>
        <v/>
      </c>
      <c r="I80" s="14">
        <f>IFERROR((G80/F80)/(SUMIFS($G$3:$G$116,$A$3:$A$116,A80,$B$3:$B$116,0)/SUMIFS($F$3:$F$116,$A$3:$A$116,A80,$B$3:$B$116,0)),"")</f>
        <v/>
      </c>
      <c r="J80" s="14">
        <f>IFERROR(IF(B80=0,1,IF(C80&lt;=1,G80-SUMIFS($G$3:$G$116,$A$3:$A$116,A80,$B$3:$B$116,0),G80-G79)/E80/(SUMIFS($G$3:$G$116,$A$3:$A$116,A80,$B$3:$B$116,0)/SUMIFS($F$3:$F$116,$A$3:$A$116,A80,$B$3:$B$116,0))),"")</f>
        <v/>
      </c>
      <c r="K80" s="9" t="n">
        <v>0.253</v>
      </c>
      <c r="L80" s="9" t="n">
        <v>0.292</v>
      </c>
      <c r="M80" s="14">
        <f>IF(OR(K80="",L80="",L80=0),"",K80/L80)</f>
        <v/>
      </c>
      <c r="N80" s="9" t="inlineStr"/>
      <c r="O80" s="9">
        <f>IF(B80=0,"基准",IF(C80=6,"6 级专精：空位用完后的出路，看后期实测，不和多放基础塔比",IF(AND(N80&lt;&gt;"",I80&lt;0.85),"功能型：单看输出偏低属正常",IF(I80&gt;=0.85,"划算",IF(I80&gt;=0.65,"略亏：空位紧张时仍值得","偏亏：建议降价或加强")))))</f>
        <v/>
      </c>
    </row>
    <row r="81">
      <c r="A81" s="9" t="inlineStr">
        <is>
          <t>sniper</t>
        </is>
      </c>
      <c r="B81" s="9" t="n">
        <v>1</v>
      </c>
      <c r="C81" s="9" t="n">
        <v>2</v>
      </c>
      <c r="D81" s="9" t="inlineStr">
        <is>
          <t>落点修正</t>
        </is>
      </c>
      <c r="E81" s="9" t="n">
        <v>100</v>
      </c>
      <c r="F81" s="9" t="n">
        <v>340</v>
      </c>
      <c r="G81" s="9" t="n">
        <v>5.73</v>
      </c>
      <c r="H81" s="14">
        <f>G81/F81*100</f>
        <v/>
      </c>
      <c r="I81" s="14">
        <f>IFERROR((G81/F81)/(SUMIFS($G$3:$G$116,$A$3:$A$116,A81,$B$3:$B$116,0)/SUMIFS($F$3:$F$116,$A$3:$A$116,A81,$B$3:$B$116,0)),"")</f>
        <v/>
      </c>
      <c r="J81" s="14">
        <f>IFERROR(IF(B81=0,1,IF(C81&lt;=1,G81-SUMIFS($G$3:$G$116,$A$3:$A$116,A81,$B$3:$B$116,0),G81-G80)/E81/(SUMIFS($G$3:$G$116,$A$3:$A$116,A81,$B$3:$B$116,0)/SUMIFS($F$3:$F$116,$A$3:$A$116,A81,$B$3:$B$116,0))),"")</f>
        <v/>
      </c>
      <c r="K81" s="9" t="n">
        <v>0.297</v>
      </c>
      <c r="L81" s="9" t="n">
        <v>0.426</v>
      </c>
      <c r="M81" s="14">
        <f>IF(OR(K81="",L81="",L81=0),"",K81/L81)</f>
        <v/>
      </c>
      <c r="N81" s="9" t="inlineStr">
        <is>
          <t>必中</t>
        </is>
      </c>
      <c r="O81" s="9">
        <f>IF(B81=0,"基准",IF(C81=6,"6 级专精：空位用完后的出路，看后期实测，不和多放基础塔比",IF(AND(N81&lt;&gt;"",I81&lt;0.85),"功能型：单看输出偏低属正常",IF(I81&gt;=0.85,"划算",IF(I81&gt;=0.65,"略亏：空位紧张时仍值得","偏亏：建议降价或加强")))))</f>
        <v/>
      </c>
    </row>
    <row r="82">
      <c r="A82" s="9" t="inlineStr">
        <is>
          <t>sniper</t>
        </is>
      </c>
      <c r="B82" s="9" t="n">
        <v>1</v>
      </c>
      <c r="C82" s="9" t="n">
        <v>3</v>
      </c>
      <c r="D82" s="9" t="inlineStr">
        <is>
          <t>重型鞋盒</t>
        </is>
      </c>
      <c r="E82" s="9" t="n">
        <v>260</v>
      </c>
      <c r="F82" s="9" t="n">
        <v>600</v>
      </c>
      <c r="G82" s="9" t="n">
        <v>13.36</v>
      </c>
      <c r="H82" s="14">
        <f>G82/F82*100</f>
        <v/>
      </c>
      <c r="I82" s="14">
        <f>IFERROR((G82/F82)/(SUMIFS($G$3:$G$116,$A$3:$A$116,A82,$B$3:$B$116,0)/SUMIFS($F$3:$F$116,$A$3:$A$116,A82,$B$3:$B$116,0)),"")</f>
        <v/>
      </c>
      <c r="J82" s="14">
        <f>IFERROR(IF(B82=0,1,IF(C82&lt;=1,G82-SUMIFS($G$3:$G$116,$A$3:$A$116,A82,$B$3:$B$116,0),G82-G81)/E82/(SUMIFS($G$3:$G$116,$A$3:$A$116,A82,$B$3:$B$116,0)/SUMIFS($F$3:$F$116,$A$3:$A$116,A82,$B$3:$B$116,0))),"")</f>
        <v/>
      </c>
      <c r="K82" s="9" t="n">
        <v>0.531</v>
      </c>
      <c r="L82" s="9" t="n">
        <v>0.672</v>
      </c>
      <c r="M82" s="14">
        <f>IF(OR(K82="",L82="",L82=0),"",K82/L82)</f>
        <v/>
      </c>
      <c r="N82" s="9" t="inlineStr"/>
      <c r="O82" s="9">
        <f>IF(B82=0,"基准",IF(C82=6,"6 级专精：空位用完后的出路，看后期实测，不和多放基础塔比",IF(AND(N82&lt;&gt;"",I82&lt;0.85),"功能型：单看输出偏低属正常",IF(I82&gt;=0.85,"划算",IF(I82&gt;=0.65,"略亏：空位紧张时仍值得","偏亏：建议降价或加强")))))</f>
        <v/>
      </c>
    </row>
    <row r="83">
      <c r="A83" s="9" t="inlineStr">
        <is>
          <t>sniper</t>
        </is>
      </c>
      <c r="B83" s="9" t="n">
        <v>1</v>
      </c>
      <c r="C83" s="9" t="n">
        <v>4</v>
      </c>
      <c r="D83" s="9" t="inlineStr">
        <is>
          <t>动态追踪</t>
        </is>
      </c>
      <c r="E83" s="9" t="n">
        <v>700</v>
      </c>
      <c r="F83" s="9" t="n">
        <v>1300</v>
      </c>
      <c r="G83" s="9" t="n">
        <v>19.09</v>
      </c>
      <c r="H83" s="14">
        <f>G83/F83*100</f>
        <v/>
      </c>
      <c r="I83" s="14">
        <f>IFERROR((G83/F83)/(SUMIFS($G$3:$G$116,$A$3:$A$116,A83,$B$3:$B$116,0)/SUMIFS($F$3:$F$116,$A$3:$A$116,A83,$B$3:$B$116,0)),"")</f>
        <v/>
      </c>
      <c r="J83" s="14">
        <f>IFERROR(IF(B83=0,1,IF(C83&lt;=1,G83-SUMIFS($G$3:$G$116,$A$3:$A$116,A83,$B$3:$B$116,0),G83-G82)/E83/(SUMIFS($G$3:$G$116,$A$3:$A$116,A83,$B$3:$B$116,0)/SUMIFS($F$3:$F$116,$A$3:$A$116,A83,$B$3:$B$116,0))),"")</f>
        <v/>
      </c>
      <c r="K83" s="9" t="n">
        <v>0.609</v>
      </c>
      <c r="L83" s="9" t="n">
        <v>0.968</v>
      </c>
      <c r="M83" s="14">
        <f>IF(OR(K83="",L83="",L83=0),"",K83/L83)</f>
        <v/>
      </c>
      <c r="N83" s="9" t="inlineStr">
        <is>
          <t>投递区</t>
        </is>
      </c>
      <c r="O83" s="9">
        <f>IF(B83=0,"基准",IF(C83=6,"6 级专精：空位用完后的出路，看后期实测，不和多放基础塔比",IF(AND(N83&lt;&gt;"",I83&lt;0.85),"功能型：单看输出偏低属正常",IF(I83&gt;=0.85,"划算",IF(I83&gt;=0.65,"略亏：空位紧张时仍值得","偏亏：建议降价或加强")))))</f>
        <v/>
      </c>
    </row>
    <row r="84">
      <c r="A84" s="9" t="inlineStr">
        <is>
          <t>sniper</t>
        </is>
      </c>
      <c r="B84" s="9" t="n">
        <v>1</v>
      </c>
      <c r="C84" s="9" t="n">
        <v>5</v>
      </c>
      <c r="D84" s="9" t="inlineStr">
        <is>
          <t>连续投箱</t>
        </is>
      </c>
      <c r="E84" s="9" t="n">
        <v>1500</v>
      </c>
      <c r="F84" s="9" t="n">
        <v>2800</v>
      </c>
      <c r="G84" s="9" t="n">
        <v>38.18</v>
      </c>
      <c r="H84" s="14">
        <f>G84/F84*100</f>
        <v/>
      </c>
      <c r="I84" s="14">
        <f>IFERROR((G84/F84)/(SUMIFS($G$3:$G$116,$A$3:$A$116,A84,$B$3:$B$116,0)/SUMIFS($F$3:$F$116,$A$3:$A$116,A84,$B$3:$B$116,0)),"")</f>
        <v/>
      </c>
      <c r="J84" s="14">
        <f>IFERROR(IF(B84=0,1,IF(C84&lt;=1,G84-SUMIFS($G$3:$G$116,$A$3:$A$116,A84,$B$3:$B$116,0),G84-G83)/E84/(SUMIFS($G$3:$G$116,$A$3:$A$116,A84,$B$3:$B$116,0)/SUMIFS($F$3:$F$116,$A$3:$A$116,A84,$B$3:$B$116,0))),"")</f>
        <v/>
      </c>
      <c r="K84" s="9" t="n"/>
      <c r="L84" s="9" t="n"/>
      <c r="M84" s="14">
        <f>IF(OR(K84="",L84="",L84=0),"",K84/L84)</f>
        <v/>
      </c>
      <c r="N84" s="9" t="inlineStr"/>
      <c r="O84" s="9">
        <f>IF(B84=0,"基准",IF(C84=6,"6 级专精：空位用完后的出路，看后期实测，不和多放基础塔比",IF(AND(N84&lt;&gt;"",I84&lt;0.85),"功能型：单看输出偏低属正常",IF(I84&gt;=0.85,"划算",IF(I84&gt;=0.65,"略亏：空位紧张时仍值得","偏亏：建议降价或加强")))))</f>
        <v/>
      </c>
    </row>
    <row r="85">
      <c r="A85" s="9" t="inlineStr">
        <is>
          <t>sniper</t>
        </is>
      </c>
      <c r="B85" s="9" t="n">
        <v>1</v>
      </c>
      <c r="C85" s="9" t="n">
        <v>6</v>
      </c>
      <c r="D85" s="9" t="inlineStr">
        <is>
          <t>旗舰重箱机</t>
        </is>
      </c>
      <c r="E85" s="9" t="n">
        <v>3800</v>
      </c>
      <c r="F85" s="9" t="n">
        <v>6600</v>
      </c>
      <c r="G85" s="9" t="n">
        <v>257.67</v>
      </c>
      <c r="H85" s="14">
        <f>G85/F85*100</f>
        <v/>
      </c>
      <c r="I85" s="14">
        <f>IFERROR((G85/F85)/(SUMIFS($G$3:$G$116,$A$3:$A$116,A85,$B$3:$B$116,0)/SUMIFS($F$3:$F$116,$A$3:$A$116,A85,$B$3:$B$116,0)),"")</f>
        <v/>
      </c>
      <c r="J85" s="14">
        <f>IFERROR(IF(B85=0,1,IF(C85&lt;=1,G85-SUMIFS($G$3:$G$116,$A$3:$A$116,A85,$B$3:$B$116,0),G85-G84)/E85/(SUMIFS($G$3:$G$116,$A$3:$A$116,A85,$B$3:$B$116,0)/SUMIFS($F$3:$F$116,$A$3:$A$116,A85,$B$3:$B$116,0))),"")</f>
        <v/>
      </c>
      <c r="K85" s="9" t="n"/>
      <c r="L85" s="9" t="n"/>
      <c r="M85" s="14">
        <f>IF(OR(K85="",L85="",L85=0),"",K85/L85)</f>
        <v/>
      </c>
      <c r="N85" s="9" t="inlineStr"/>
      <c r="O85" s="9">
        <f>IF(B85=0,"基准",IF(C85=6,"6 级专精：空位用完后的出路，看后期实测，不和多放基础塔比",IF(AND(N85&lt;&gt;"",I85&lt;0.85),"功能型：单看输出偏低属正常",IF(I85&gt;=0.85,"划算",IF(I85&gt;=0.65,"略亏：空位紧张时仍值得","偏亏：建议降价或加强")))))</f>
        <v/>
      </c>
    </row>
    <row r="86">
      <c r="A86" s="9" t="inlineStr">
        <is>
          <t>sniper</t>
        </is>
      </c>
      <c r="B86" s="9" t="n">
        <v>2</v>
      </c>
      <c r="C86" s="9" t="n">
        <v>1</v>
      </c>
      <c r="D86" s="9" t="inlineStr">
        <is>
          <t>多装一箱</t>
        </is>
      </c>
      <c r="E86" s="9" t="n">
        <v>90</v>
      </c>
      <c r="F86" s="9" t="n">
        <v>270</v>
      </c>
      <c r="G86" s="9" t="n">
        <v>9.74</v>
      </c>
      <c r="H86" s="14">
        <f>G86/F86*100</f>
        <v/>
      </c>
      <c r="I86" s="14">
        <f>IFERROR((G86/F86)/(SUMIFS($G$3:$G$116,$A$3:$A$116,A86,$B$3:$B$116,0)/SUMIFS($F$3:$F$116,$A$3:$A$116,A86,$B$3:$B$116,0)),"")</f>
        <v/>
      </c>
      <c r="J86" s="14">
        <f>IFERROR(IF(B86=0,1,IF(C86&lt;=1,G86-SUMIFS($G$3:$G$116,$A$3:$A$116,A86,$B$3:$B$116,0),G86-G85)/E86/(SUMIFS($G$3:$G$116,$A$3:$A$116,A86,$B$3:$B$116,0)/SUMIFS($F$3:$F$116,$A$3:$A$116,A86,$B$3:$B$116,0))),"")</f>
        <v/>
      </c>
      <c r="K86" s="9" t="n">
        <v>0.408</v>
      </c>
      <c r="L86" s="9" t="n">
        <v>0.332</v>
      </c>
      <c r="M86" s="14">
        <f>IF(OR(K86="",L86="",L86=0),"",K86/L86)</f>
        <v/>
      </c>
      <c r="N86" s="9" t="inlineStr"/>
      <c r="O86" s="9">
        <f>IF(B86=0,"基准",IF(C86=6,"6 级专精：空位用完后的出路，看后期实测，不和多放基础塔比",IF(AND(N86&lt;&gt;"",I86&lt;0.85),"功能型：单看输出偏低属正常",IF(I86&gt;=0.85,"划算",IF(I86&gt;=0.65,"略亏：空位紧张时仍值得","偏亏：建议降价或加强")))))</f>
        <v/>
      </c>
    </row>
    <row r="87">
      <c r="A87" s="9" t="inlineStr">
        <is>
          <t>sniper</t>
        </is>
      </c>
      <c r="B87" s="9" t="n">
        <v>2</v>
      </c>
      <c r="C87" s="9" t="n">
        <v>2</v>
      </c>
      <c r="D87" s="9" t="inlineStr">
        <is>
          <t>散布投递</t>
        </is>
      </c>
      <c r="E87" s="9" t="n">
        <v>150</v>
      </c>
      <c r="F87" s="9" t="n">
        <v>420</v>
      </c>
      <c r="G87" s="9" t="n">
        <v>9.74</v>
      </c>
      <c r="H87" s="14">
        <f>G87/F87*100</f>
        <v/>
      </c>
      <c r="I87" s="14">
        <f>IFERROR((G87/F87)/(SUMIFS($G$3:$G$116,$A$3:$A$116,A87,$B$3:$B$116,0)/SUMIFS($F$3:$F$116,$A$3:$A$116,A87,$B$3:$B$116,0)),"")</f>
        <v/>
      </c>
      <c r="J87" s="14">
        <f>IFERROR(IF(B87=0,1,IF(C87&lt;=1,G87-SUMIFS($G$3:$G$116,$A$3:$A$116,A87,$B$3:$B$116,0),G87-G86)/E87/(SUMIFS($G$3:$G$116,$A$3:$A$116,A87,$B$3:$B$116,0)/SUMIFS($F$3:$F$116,$A$3:$A$116,A87,$B$3:$B$116,0))),"")</f>
        <v/>
      </c>
      <c r="K87" s="9" t="n">
        <v>0.381</v>
      </c>
      <c r="L87" s="9" t="n">
        <v>0.508</v>
      </c>
      <c r="M87" s="14">
        <f>IF(OR(K87="",L87="",L87=0),"",K87/L87)</f>
        <v/>
      </c>
      <c r="N87" s="9" t="inlineStr">
        <is>
          <t>投递区</t>
        </is>
      </c>
      <c r="O87" s="9">
        <f>IF(B87=0,"基准",IF(C87=6,"6 级专精：空位用完后的出路，看后期实测，不和多放基础塔比",IF(AND(N87&lt;&gt;"",I87&lt;0.85),"功能型：单看输出偏低属正常",IF(I87&gt;=0.85,"划算",IF(I87&gt;=0.65,"略亏：空位紧张时仍值得","偏亏：建议降价或加强")))))</f>
        <v/>
      </c>
    </row>
    <row r="88">
      <c r="A88" s="9" t="inlineStr">
        <is>
          <t>sniper</t>
        </is>
      </c>
      <c r="B88" s="9" t="n">
        <v>2</v>
      </c>
      <c r="C88" s="9" t="n">
        <v>3</v>
      </c>
      <c r="D88" s="9" t="inlineStr">
        <is>
          <t>沿路投箱</t>
        </is>
      </c>
      <c r="E88" s="9" t="n">
        <v>260</v>
      </c>
      <c r="F88" s="9" t="n">
        <v>680</v>
      </c>
      <c r="G88" s="9" t="n">
        <v>14.6</v>
      </c>
      <c r="H88" s="14">
        <f>G88/F88*100</f>
        <v/>
      </c>
      <c r="I88" s="14">
        <f>IFERROR((G88/F88)/(SUMIFS($G$3:$G$116,$A$3:$A$116,A88,$B$3:$B$116,0)/SUMIFS($F$3:$F$116,$A$3:$A$116,A88,$B$3:$B$116,0)),"")</f>
        <v/>
      </c>
      <c r="J88" s="14">
        <f>IFERROR(IF(B88=0,1,IF(C88&lt;=1,G88-SUMIFS($G$3:$G$116,$A$3:$A$116,A88,$B$3:$B$116,0),G88-G87)/E88/(SUMIFS($G$3:$G$116,$A$3:$A$116,A88,$B$3:$B$116,0)/SUMIFS($F$3:$F$116,$A$3:$A$116,A88,$B$3:$B$116,0))),"")</f>
        <v/>
      </c>
      <c r="K88" s="9" t="n">
        <v>0.408</v>
      </c>
      <c r="L88" s="9" t="n">
        <v>0.745</v>
      </c>
      <c r="M88" s="14">
        <f>IF(OR(K88="",L88="",L88=0),"",K88/L88)</f>
        <v/>
      </c>
      <c r="N88" s="9" t="inlineStr">
        <is>
          <t>布阵</t>
        </is>
      </c>
      <c r="O88" s="9">
        <f>IF(B88=0,"基准",IF(C88=6,"6 级专精：空位用完后的出路，看后期实测，不和多放基础塔比",IF(AND(N88&lt;&gt;"",I88&lt;0.85),"功能型：单看输出偏低属正常",IF(I88&gt;=0.85,"划算",IF(I88&gt;=0.65,"略亏：空位紧张时仍值得","偏亏：建议降价或加强")))))</f>
        <v/>
      </c>
    </row>
    <row r="89">
      <c r="A89" s="9" t="inlineStr">
        <is>
          <t>sniper</t>
        </is>
      </c>
      <c r="B89" s="9" t="n">
        <v>2</v>
      </c>
      <c r="C89" s="9" t="n">
        <v>4</v>
      </c>
      <c r="D89" s="9" t="inlineStr">
        <is>
          <t>多点投递</t>
        </is>
      </c>
      <c r="E89" s="9" t="n">
        <v>550</v>
      </c>
      <c r="F89" s="9" t="n">
        <v>1230</v>
      </c>
      <c r="G89" s="9" t="n">
        <v>24.34</v>
      </c>
      <c r="H89" s="14">
        <f>G89/F89*100</f>
        <v/>
      </c>
      <c r="I89" s="14">
        <f>IFERROR((G89/F89)/(SUMIFS($G$3:$G$116,$A$3:$A$116,A89,$B$3:$B$116,0)/SUMIFS($F$3:$F$116,$A$3:$A$116,A89,$B$3:$B$116,0)),"")</f>
        <v/>
      </c>
      <c r="J89" s="14">
        <f>IFERROR(IF(B89=0,1,IF(C89&lt;=1,G89-SUMIFS($G$3:$G$116,$A$3:$A$116,A89,$B$3:$B$116,0),G89-G88)/E89/(SUMIFS($G$3:$G$116,$A$3:$A$116,A89,$B$3:$B$116,0)/SUMIFS($F$3:$F$116,$A$3:$A$116,A89,$B$3:$B$116,0))),"")</f>
        <v/>
      </c>
      <c r="K89" s="9" t="n">
        <v>0.6</v>
      </c>
      <c r="L89" s="9" t="n">
        <v>0.945</v>
      </c>
      <c r="M89" s="14">
        <f>IF(OR(K89="",L89="",L89=0),"",K89/L89)</f>
        <v/>
      </c>
      <c r="N89" s="9" t="inlineStr"/>
      <c r="O89" s="9">
        <f>IF(B89=0,"基准",IF(C89=6,"6 级专精：空位用完后的出路，看后期实测，不和多放基础塔比",IF(AND(N89&lt;&gt;"",I89&lt;0.85),"功能型：单看输出偏低属正常",IF(I89&gt;=0.85,"划算",IF(I89&gt;=0.65,"略亏：空位紧张时仍值得","偏亏：建议降价或加强")))))</f>
        <v/>
      </c>
    </row>
    <row r="90">
      <c r="A90" s="9" t="inlineStr">
        <is>
          <t>sniper</t>
        </is>
      </c>
      <c r="B90" s="9" t="n">
        <v>2</v>
      </c>
      <c r="C90" s="9" t="n">
        <v>5</v>
      </c>
      <c r="D90" s="9" t="inlineStr">
        <is>
          <t>编队配送</t>
        </is>
      </c>
      <c r="E90" s="9" t="n">
        <v>1500</v>
      </c>
      <c r="F90" s="9" t="n">
        <v>2730</v>
      </c>
      <c r="G90" s="9" t="n">
        <v>38.94</v>
      </c>
      <c r="H90" s="14">
        <f>G90/F90*100</f>
        <v/>
      </c>
      <c r="I90" s="14">
        <f>IFERROR((G90/F90)/(SUMIFS($G$3:$G$116,$A$3:$A$116,A90,$B$3:$B$116,0)/SUMIFS($F$3:$F$116,$A$3:$A$116,A90,$B$3:$B$116,0)),"")</f>
        <v/>
      </c>
      <c r="J90" s="14">
        <f>IFERROR(IF(B90=0,1,IF(C90&lt;=1,G90-SUMIFS($G$3:$G$116,$A$3:$A$116,A90,$B$3:$B$116,0),G90-G89)/E90/(SUMIFS($G$3:$G$116,$A$3:$A$116,A90,$B$3:$B$116,0)/SUMIFS($F$3:$F$116,$A$3:$A$116,A90,$B$3:$B$116,0))),"")</f>
        <v/>
      </c>
      <c r="K90" s="9" t="n"/>
      <c r="L90" s="9" t="n"/>
      <c r="M90" s="14">
        <f>IF(OR(K90="",L90="",L90=0),"",K90/L90)</f>
        <v/>
      </c>
      <c r="N90" s="9" t="inlineStr"/>
      <c r="O90" s="9">
        <f>IF(B90=0,"基准",IF(C90=6,"6 级专精：空位用完后的出路，看后期实测，不和多放基础塔比",IF(AND(N90&lt;&gt;"",I90&lt;0.85),"功能型：单看输出偏低属正常",IF(I90&gt;=0.85,"划算",IF(I90&gt;=0.65,"略亏：空位紧张时仍值得","偏亏：建议降价或加强")))))</f>
        <v/>
      </c>
    </row>
    <row r="91">
      <c r="A91" s="9" t="inlineStr">
        <is>
          <t>sniper</t>
        </is>
      </c>
      <c r="B91" s="9" t="n">
        <v>2</v>
      </c>
      <c r="C91" s="9" t="n">
        <v>6</v>
      </c>
      <c r="D91" s="9" t="inlineStr">
        <is>
          <t>鞋盒空投编队</t>
        </is>
      </c>
      <c r="E91" s="9" t="n">
        <v>3600</v>
      </c>
      <c r="F91" s="9" t="n">
        <v>6330</v>
      </c>
      <c r="G91" s="9" t="n">
        <v>145.38</v>
      </c>
      <c r="H91" s="14">
        <f>G91/F91*100</f>
        <v/>
      </c>
      <c r="I91" s="14">
        <f>IFERROR((G91/F91)/(SUMIFS($G$3:$G$116,$A$3:$A$116,A91,$B$3:$B$116,0)/SUMIFS($F$3:$F$116,$A$3:$A$116,A91,$B$3:$B$116,0)),"")</f>
        <v/>
      </c>
      <c r="J91" s="14">
        <f>IFERROR(IF(B91=0,1,IF(C91&lt;=1,G91-SUMIFS($G$3:$G$116,$A$3:$A$116,A91,$B$3:$B$116,0),G91-G90)/E91/(SUMIFS($G$3:$G$116,$A$3:$A$116,A91,$B$3:$B$116,0)/SUMIFS($F$3:$F$116,$A$3:$A$116,A91,$B$3:$B$116,0))),"")</f>
        <v/>
      </c>
      <c r="K91" s="9" t="n"/>
      <c r="L91" s="9" t="n"/>
      <c r="M91" s="14">
        <f>IF(OR(K91="",L91="",L91=0),"",K91/L91)</f>
        <v/>
      </c>
      <c r="N91" s="9" t="inlineStr"/>
      <c r="O91" s="9">
        <f>IF(B91=0,"基准",IF(C91=6,"6 级专精：空位用完后的出路，看后期实测，不和多放基础塔比",IF(AND(N91&lt;&gt;"",I91&lt;0.85),"功能型：单看输出偏低属正常",IF(I91&gt;=0.85,"划算",IF(I91&gt;=0.65,"略亏：空位紧张时仍值得","偏亏：建议降价或加强")))))</f>
        <v/>
      </c>
    </row>
    <row r="92">
      <c r="A92" s="9" t="inlineStr">
        <is>
          <t>sniper</t>
        </is>
      </c>
      <c r="B92" s="9" t="n">
        <v>3</v>
      </c>
      <c r="C92" s="9" t="n">
        <v>1</v>
      </c>
      <c r="D92" s="9" t="inlineStr">
        <is>
          <t>快速返航</t>
        </is>
      </c>
      <c r="E92" s="9" t="n">
        <v>70</v>
      </c>
      <c r="F92" s="9" t="n">
        <v>250</v>
      </c>
      <c r="G92" s="9" t="n">
        <v>5.73</v>
      </c>
      <c r="H92" s="14">
        <f>G92/F92*100</f>
        <v/>
      </c>
      <c r="I92" s="14">
        <f>IFERROR((G92/F92)/(SUMIFS($G$3:$G$116,$A$3:$A$116,A92,$B$3:$B$116,0)/SUMIFS($F$3:$F$116,$A$3:$A$116,A92,$B$3:$B$116,0)),"")</f>
        <v/>
      </c>
      <c r="J92" s="14">
        <f>IFERROR(IF(B92=0,1,IF(C92&lt;=1,G92-SUMIFS($G$3:$G$116,$A$3:$A$116,A92,$B$3:$B$116,0),G92-G91)/E92/(SUMIFS($G$3:$G$116,$A$3:$A$116,A92,$B$3:$B$116,0)/SUMIFS($F$3:$F$116,$A$3:$A$116,A92,$B$3:$B$116,0))),"")</f>
        <v/>
      </c>
      <c r="K92" s="9" t="n">
        <v>0.267</v>
      </c>
      <c r="L92" s="9" t="n">
        <v>0.305</v>
      </c>
      <c r="M92" s="14">
        <f>IF(OR(K92="",L92="",L92=0),"",K92/L92)</f>
        <v/>
      </c>
      <c r="N92" s="9" t="inlineStr"/>
      <c r="O92" s="9">
        <f>IF(B92=0,"基准",IF(C92=6,"6 级专精：空位用完后的出路，看后期实测，不和多放基础塔比",IF(AND(N92&lt;&gt;"",I92&lt;0.85),"功能型：单看输出偏低属正常",IF(I92&gt;=0.85,"划算",IF(I92&gt;=0.65,"略亏：空位紧张时仍值得","偏亏：建议降价或加强")))))</f>
        <v/>
      </c>
    </row>
    <row r="93">
      <c r="A93" s="9" t="inlineStr">
        <is>
          <t>sniper</t>
        </is>
      </c>
      <c r="B93" s="9" t="n">
        <v>3</v>
      </c>
      <c r="C93" s="9" t="n">
        <v>2</v>
      </c>
      <c r="D93" s="9" t="inlineStr">
        <is>
          <t>缩短整备</t>
        </is>
      </c>
      <c r="E93" s="9" t="n">
        <v>120</v>
      </c>
      <c r="F93" s="9" t="n">
        <v>370</v>
      </c>
      <c r="G93" s="9" t="n">
        <v>6.74</v>
      </c>
      <c r="H93" s="14">
        <f>G93/F93*100</f>
        <v/>
      </c>
      <c r="I93" s="14">
        <f>IFERROR((G93/F93)/(SUMIFS($G$3:$G$116,$A$3:$A$116,A93,$B$3:$B$116,0)/SUMIFS($F$3:$F$116,$A$3:$A$116,A93,$B$3:$B$116,0)),"")</f>
        <v/>
      </c>
      <c r="J93" s="14">
        <f>IFERROR(IF(B93=0,1,IF(C93&lt;=1,G93-SUMIFS($G$3:$G$116,$A$3:$A$116,A93,$B$3:$B$116,0),G93-G92)/E93/(SUMIFS($G$3:$G$116,$A$3:$A$116,A93,$B$3:$B$116,0)/SUMIFS($F$3:$F$116,$A$3:$A$116,A93,$B$3:$B$116,0))),"")</f>
        <v/>
      </c>
      <c r="K93" s="9" t="n">
        <v>0.292</v>
      </c>
      <c r="L93" s="9" t="n">
        <v>0.462</v>
      </c>
      <c r="M93" s="14">
        <f>IF(OR(K93="",L93="",L93=0),"",K93/L93)</f>
        <v/>
      </c>
      <c r="N93" s="9" t="inlineStr"/>
      <c r="O93" s="9">
        <f>IF(B93=0,"基准",IF(C93=6,"6 级专精：空位用完后的出路，看后期实测，不和多放基础塔比",IF(AND(N93&lt;&gt;"",I93&lt;0.85),"功能型：单看输出偏低属正常",IF(I93&gt;=0.85,"划算",IF(I93&gt;=0.65,"略亏：空位紧张时仍值得","偏亏：建议降价或加强")))))</f>
        <v/>
      </c>
    </row>
    <row r="94">
      <c r="A94" s="9" t="inlineStr">
        <is>
          <t>sniper</t>
        </is>
      </c>
      <c r="B94" s="9" t="n">
        <v>3</v>
      </c>
      <c r="C94" s="9" t="n">
        <v>3</v>
      </c>
      <c r="D94" s="9" t="inlineStr">
        <is>
          <t>补给箱</t>
        </is>
      </c>
      <c r="E94" s="9" t="n">
        <v>300</v>
      </c>
      <c r="F94" s="9" t="n">
        <v>670</v>
      </c>
      <c r="G94" s="9" t="n">
        <v>6.74</v>
      </c>
      <c r="H94" s="14">
        <f>G94/F94*100</f>
        <v/>
      </c>
      <c r="I94" s="14">
        <f>IFERROR((G94/F94)/(SUMIFS($G$3:$G$116,$A$3:$A$116,A94,$B$3:$B$116,0)/SUMIFS($F$3:$F$116,$A$3:$A$116,A94,$B$3:$B$116,0)),"")</f>
        <v/>
      </c>
      <c r="J94" s="14">
        <f>IFERROR(IF(B94=0,1,IF(C94&lt;=1,G94-SUMIFS($G$3:$G$116,$A$3:$A$116,A94,$B$3:$B$116,0),G94-G93)/E94/(SUMIFS($G$3:$G$116,$A$3:$A$116,A94,$B$3:$B$116,0)/SUMIFS($F$3:$F$116,$A$3:$A$116,A94,$B$3:$B$116,0))),"")</f>
        <v/>
      </c>
      <c r="K94" s="9" t="n">
        <v>0.267</v>
      </c>
      <c r="L94" s="9" t="n">
        <v>0.735</v>
      </c>
      <c r="M94" s="14">
        <f>IF(OR(K94="",L94="",L94=0),"",K94/L94)</f>
        <v/>
      </c>
      <c r="N94" s="9" t="inlineStr">
        <is>
          <t>补给</t>
        </is>
      </c>
      <c r="O94" s="9">
        <f>IF(B94=0,"基准",IF(C94=6,"6 级专精：空位用完后的出路，看后期实测，不和多放基础塔比",IF(AND(N94&lt;&gt;"",I94&lt;0.85),"功能型：单看输出偏低属正常",IF(I94&gt;=0.85,"划算",IF(I94&gt;=0.65,"略亏：空位紧张时仍值得","偏亏：建议降价或加强")))))</f>
        <v/>
      </c>
    </row>
    <row r="95">
      <c r="A95" s="9" t="inlineStr">
        <is>
          <t>sniper</t>
        </is>
      </c>
      <c r="B95" s="9" t="n">
        <v>3</v>
      </c>
      <c r="C95" s="9" t="n">
        <v>4</v>
      </c>
      <c r="D95" s="9" t="inlineStr">
        <is>
          <t>长效补给</t>
        </is>
      </c>
      <c r="E95" s="9" t="n">
        <v>600</v>
      </c>
      <c r="F95" s="9" t="n">
        <v>1270</v>
      </c>
      <c r="G95" s="9" t="n">
        <v>6.74</v>
      </c>
      <c r="H95" s="14">
        <f>G95/F95*100</f>
        <v/>
      </c>
      <c r="I95" s="14">
        <f>IFERROR((G95/F95)/(SUMIFS($G$3:$G$116,$A$3:$A$116,A95,$B$3:$B$116,0)/SUMIFS($F$3:$F$116,$A$3:$A$116,A95,$B$3:$B$116,0)),"")</f>
        <v/>
      </c>
      <c r="J95" s="14">
        <f>IFERROR(IF(B95=0,1,IF(C95&lt;=1,G95-SUMIFS($G$3:$G$116,$A$3:$A$116,A95,$B$3:$B$116,0),G95-G94)/E95/(SUMIFS($G$3:$G$116,$A$3:$A$116,A95,$B$3:$B$116,0)/SUMIFS($F$3:$F$116,$A$3:$A$116,A95,$B$3:$B$116,0))),"")</f>
        <v/>
      </c>
      <c r="K95" s="9" t="n">
        <v>0.289</v>
      </c>
      <c r="L95" s="9" t="n">
        <v>0.958</v>
      </c>
      <c r="M95" s="14">
        <f>IF(OR(K95="",L95="",L95=0),"",K95/L95)</f>
        <v/>
      </c>
      <c r="N95" s="9" t="inlineStr">
        <is>
          <t>补给</t>
        </is>
      </c>
      <c r="O95" s="9">
        <f>IF(B95=0,"基准",IF(C95=6,"6 级专精：空位用完后的出路，看后期实测，不和多放基础塔比",IF(AND(N95&lt;&gt;"",I95&lt;0.85),"功能型：单看输出偏低属正常",IF(I95&gt;=0.85,"划算",IF(I95&gt;=0.65,"略亏：空位紧张时仍值得","偏亏：建议降价或加强")))))</f>
        <v/>
      </c>
    </row>
    <row r="96">
      <c r="A96" s="9" t="inlineStr">
        <is>
          <t>sniper</t>
        </is>
      </c>
      <c r="B96" s="9" t="n">
        <v>3</v>
      </c>
      <c r="C96" s="9" t="n">
        <v>5</v>
      </c>
      <c r="D96" s="9" t="inlineStr">
        <is>
          <t>多点补给</t>
        </is>
      </c>
      <c r="E96" s="9" t="n">
        <v>1300</v>
      </c>
      <c r="F96" s="9" t="n">
        <v>2570</v>
      </c>
      <c r="G96" s="9" t="n">
        <v>6.74</v>
      </c>
      <c r="H96" s="14">
        <f>G96/F96*100</f>
        <v/>
      </c>
      <c r="I96" s="14">
        <f>IFERROR((G96/F96)/(SUMIFS($G$3:$G$116,$A$3:$A$116,A96,$B$3:$B$116,0)/SUMIFS($F$3:$F$116,$A$3:$A$116,A96,$B$3:$B$116,0)),"")</f>
        <v/>
      </c>
      <c r="J96" s="14">
        <f>IFERROR(IF(B96=0,1,IF(C96&lt;=1,G96-SUMIFS($G$3:$G$116,$A$3:$A$116,A96,$B$3:$B$116,0),G96-G95)/E96/(SUMIFS($G$3:$G$116,$A$3:$A$116,A96,$B$3:$B$116,0)/SUMIFS($F$3:$F$116,$A$3:$A$116,A96,$B$3:$B$116,0))),"")</f>
        <v/>
      </c>
      <c r="K96" s="9" t="n"/>
      <c r="L96" s="9" t="n"/>
      <c r="M96" s="14">
        <f>IF(OR(K96="",L96="",L96=0),"",K96/L96)</f>
        <v/>
      </c>
      <c r="N96" s="9" t="inlineStr">
        <is>
          <t>补给</t>
        </is>
      </c>
      <c r="O96" s="9">
        <f>IF(B96=0,"基准",IF(C96=6,"6 级专精：空位用完后的出路，看后期实测，不和多放基础塔比",IF(AND(N96&lt;&gt;"",I96&lt;0.85),"功能型：单看输出偏低属正常",IF(I96&gt;=0.85,"划算",IF(I96&gt;=0.65,"略亏：空位紧张时仍值得","偏亏：建议降价或加强")))))</f>
        <v/>
      </c>
    </row>
    <row r="97">
      <c r="A97" s="9" t="inlineStr">
        <is>
          <t>sniper</t>
        </is>
      </c>
      <c r="B97" s="9" t="n">
        <v>3</v>
      </c>
      <c r="C97" s="9" t="n">
        <v>6</v>
      </c>
      <c r="D97" s="9" t="inlineStr">
        <is>
          <t>紧急后勤总部</t>
        </is>
      </c>
      <c r="E97" s="9" t="n">
        <v>3200</v>
      </c>
      <c r="F97" s="9" t="n">
        <v>5770</v>
      </c>
      <c r="G97" s="9" t="n">
        <v>0</v>
      </c>
      <c r="H97" s="14">
        <f>G97/F97*100</f>
        <v/>
      </c>
      <c r="I97" s="14">
        <f>IFERROR((G97/F97)/(SUMIFS($G$3:$G$116,$A$3:$A$116,A97,$B$3:$B$116,0)/SUMIFS($F$3:$F$116,$A$3:$A$116,A97,$B$3:$B$116,0)),"")</f>
        <v/>
      </c>
      <c r="J97" s="14">
        <f>IFERROR(IF(B97=0,1,IF(C97&lt;=1,G97-SUMIFS($G$3:$G$116,$A$3:$A$116,A97,$B$3:$B$116,0),G97-G96)/E97/(SUMIFS($G$3:$G$116,$A$3:$A$116,A97,$B$3:$B$116,0)/SUMIFS($F$3:$F$116,$A$3:$A$116,A97,$B$3:$B$116,0))),"")</f>
        <v/>
      </c>
      <c r="K97" s="9" t="n"/>
      <c r="L97" s="9" t="n"/>
      <c r="M97" s="14">
        <f>IF(OR(K97="",L97="",L97=0),"",K97/L97)</f>
        <v/>
      </c>
      <c r="N97" s="9" t="inlineStr">
        <is>
          <t>补给</t>
        </is>
      </c>
      <c r="O97" s="9">
        <f>IF(B97=0,"基准",IF(C97=6,"6 级专精：空位用完后的出路，看后期实测，不和多放基础塔比",IF(AND(N97&lt;&gt;"",I97&lt;0.85),"功能型：单看输出偏低属正常",IF(I97&gt;=0.85,"划算",IF(I97&gt;=0.65,"略亏：空位紧张时仍值得","偏亏：建议降价或加强")))))</f>
        <v/>
      </c>
    </row>
    <row r="98">
      <c r="A98" s="9" t="inlineStr">
        <is>
          <t>tesla</t>
        </is>
      </c>
      <c r="B98" s="9" t="n">
        <v>0</v>
      </c>
      <c r="C98" s="9" t="n">
        <v>0</v>
      </c>
      <c r="D98" s="9" t="inlineStr">
        <is>
          <t>基础</t>
        </is>
      </c>
      <c r="E98" s="9" t="n">
        <v>150</v>
      </c>
      <c r="F98" s="9" t="n">
        <v>150</v>
      </c>
      <c r="G98" s="9" t="n">
        <v>6.4</v>
      </c>
      <c r="H98" s="14">
        <f>G98/F98*100</f>
        <v/>
      </c>
      <c r="I98" s="14">
        <f>IFERROR((G98/F98)/(SUMIFS($G$3:$G$116,$A$3:$A$116,A98,$B$3:$B$116,0)/SUMIFS($F$3:$F$116,$A$3:$A$116,A98,$B$3:$B$116,0)),"")</f>
        <v/>
      </c>
      <c r="J98" s="14">
        <f>IFERROR(IF(B98=0,1,IF(C98&lt;=1,G98-SUMIFS($G$3:$G$116,$A$3:$A$116,A98,$B$3:$B$116,0),G98-G97)/E98/(SUMIFS($G$3:$G$116,$A$3:$A$116,A98,$B$3:$B$116,0)/SUMIFS($F$3:$F$116,$A$3:$A$116,A98,$B$3:$B$116,0))),"")</f>
        <v/>
      </c>
      <c r="K98" s="9" t="n"/>
      <c r="L98" s="9" t="n"/>
      <c r="M98" s="14">
        <f>IF(OR(K98="",L98="",L98=0),"",K98/L98)</f>
        <v/>
      </c>
      <c r="N98" s="9" t="inlineStr"/>
      <c r="O98" s="9">
        <f>IF(B98=0,"基准",IF(C98=6,"6 级专精：空位用完后的出路，看后期实测，不和多放基础塔比",IF(AND(N98&lt;&gt;"",I98&lt;0.85),"功能型：单看输出偏低属正常",IF(I98&gt;=0.85,"划算",IF(I98&gt;=0.65,"略亏：空位紧张时仍值得","偏亏：建议降价或加强")))))</f>
        <v/>
      </c>
    </row>
    <row r="99">
      <c r="A99" s="9" t="inlineStr">
        <is>
          <t>tesla</t>
        </is>
      </c>
      <c r="B99" s="9" t="n">
        <v>1</v>
      </c>
      <c r="C99" s="9" t="n">
        <v>1</v>
      </c>
      <c r="D99" s="9" t="inlineStr">
        <is>
          <t>大嗓门</t>
        </is>
      </c>
      <c r="E99" s="9" t="n">
        <v>45</v>
      </c>
      <c r="F99" s="9" t="n">
        <v>195</v>
      </c>
      <c r="G99" s="9" t="n">
        <v>6.4</v>
      </c>
      <c r="H99" s="14">
        <f>G99/F99*100</f>
        <v/>
      </c>
      <c r="I99" s="14">
        <f>IFERROR((G99/F99)/(SUMIFS($G$3:$G$116,$A$3:$A$116,A99,$B$3:$B$116,0)/SUMIFS($F$3:$F$116,$A$3:$A$116,A99,$B$3:$B$116,0)),"")</f>
        <v/>
      </c>
      <c r="J99" s="14">
        <f>IFERROR(IF(B99=0,1,IF(C99&lt;=1,G99-SUMIFS($G$3:$G$116,$A$3:$A$116,A99,$B$3:$B$116,0),G99-G98)/E99/(SUMIFS($G$3:$G$116,$A$3:$A$116,A99,$B$3:$B$116,0)/SUMIFS($F$3:$F$116,$A$3:$A$116,A99,$B$3:$B$116,0))),"")</f>
        <v/>
      </c>
      <c r="K99" s="9" t="n">
        <v>0.257</v>
      </c>
      <c r="L99" s="9" t="n">
        <v>0.336</v>
      </c>
      <c r="M99" s="14">
        <f>IF(OR(K99="",L99="",L99=0),"",K99/L99)</f>
        <v/>
      </c>
      <c r="N99" s="9" t="inlineStr">
        <is>
          <t>传播</t>
        </is>
      </c>
      <c r="O99" s="9">
        <f>IF(B99=0,"基准",IF(C99=6,"6 级专精：空位用完后的出路，看后期实测，不和多放基础塔比",IF(AND(N99&lt;&gt;"",I99&lt;0.85),"功能型：单看输出偏低属正常",IF(I99&gt;=0.85,"划算",IF(I99&gt;=0.65,"略亏：空位紧张时仍值得","偏亏：建议降价或加强")))))</f>
        <v/>
      </c>
    </row>
    <row r="100">
      <c r="A100" s="9" t="inlineStr">
        <is>
          <t>tesla</t>
        </is>
      </c>
      <c r="B100" s="9" t="n">
        <v>1</v>
      </c>
      <c r="C100" s="9" t="n">
        <v>2</v>
      </c>
      <c r="D100" s="9" t="inlineStr">
        <is>
          <t>多传两人</t>
        </is>
      </c>
      <c r="E100" s="9" t="n">
        <v>80</v>
      </c>
      <c r="F100" s="9" t="n">
        <v>275</v>
      </c>
      <c r="G100" s="9" t="n">
        <v>9.23</v>
      </c>
      <c r="H100" s="14">
        <f>G100/F100*100</f>
        <v/>
      </c>
      <c r="I100" s="14">
        <f>IFERROR((G100/F100)/(SUMIFS($G$3:$G$116,$A$3:$A$116,A100,$B$3:$B$116,0)/SUMIFS($F$3:$F$116,$A$3:$A$116,A100,$B$3:$B$116,0)),"")</f>
        <v/>
      </c>
      <c r="J100" s="14">
        <f>IFERROR(IF(B100=0,1,IF(C100&lt;=1,G100-SUMIFS($G$3:$G$116,$A$3:$A$116,A100,$B$3:$B$116,0),G100-G99)/E100/(SUMIFS($G$3:$G$116,$A$3:$A$116,A100,$B$3:$B$116,0)/SUMIFS($F$3:$F$116,$A$3:$A$116,A100,$B$3:$B$116,0))),"")</f>
        <v/>
      </c>
      <c r="K100" s="9" t="n">
        <v>0.379</v>
      </c>
      <c r="L100" s="9" t="n">
        <v>0.461</v>
      </c>
      <c r="M100" s="14">
        <f>IF(OR(K100="",L100="",L100=0),"",K100/L100)</f>
        <v/>
      </c>
      <c r="N100" s="9" t="inlineStr"/>
      <c r="O100" s="9">
        <f>IF(B100=0,"基准",IF(C100=6,"6 级专精：空位用完后的出路，看后期实测，不和多放基础塔比",IF(AND(N100&lt;&gt;"",I100&lt;0.85),"功能型：单看输出偏低属正常",IF(I100&gt;=0.85,"划算",IF(I100&gt;=0.65,"略亏：空位紧张时仍值得","偏亏：建议降价或加强")))))</f>
        <v/>
      </c>
    </row>
    <row r="101">
      <c r="A101" s="9" t="inlineStr">
        <is>
          <t>tesla</t>
        </is>
      </c>
      <c r="B101" s="9" t="n">
        <v>1</v>
      </c>
      <c r="C101" s="9" t="n">
        <v>3</v>
      </c>
      <c r="D101" s="9" t="inlineStr">
        <is>
          <t>跑者接唱</t>
        </is>
      </c>
      <c r="E101" s="9" t="n">
        <v>300</v>
      </c>
      <c r="F101" s="9" t="n">
        <v>575</v>
      </c>
      <c r="G101" s="9" t="n">
        <v>16.75</v>
      </c>
      <c r="H101" s="14">
        <f>G101/F101*100</f>
        <v/>
      </c>
      <c r="I101" s="14">
        <f>IFERROR((G101/F101)/(SUMIFS($G$3:$G$116,$A$3:$A$116,A101,$B$3:$B$116,0)/SUMIFS($F$3:$F$116,$A$3:$A$116,A101,$B$3:$B$116,0)),"")</f>
        <v/>
      </c>
      <c r="J101" s="14">
        <f>IFERROR(IF(B101=0,1,IF(C101&lt;=1,G101-SUMIFS($G$3:$G$116,$A$3:$A$116,A101,$B$3:$B$116,0),G101-G100)/E101/(SUMIFS($G$3:$G$116,$A$3:$A$116,A101,$B$3:$B$116,0)/SUMIFS($F$3:$F$116,$A$3:$A$116,A101,$B$3:$B$116,0))),"")</f>
        <v/>
      </c>
      <c r="K101" s="9" t="n">
        <v>0.613</v>
      </c>
      <c r="L101" s="9" t="n">
        <v>0.8129999999999999</v>
      </c>
      <c r="M101" s="14">
        <f>IF(OR(K101="",L101="",L101=0),"",K101/L101)</f>
        <v/>
      </c>
      <c r="N101" s="9" t="inlineStr"/>
      <c r="O101" s="9">
        <f>IF(B101=0,"基准",IF(C101=6,"6 级专精：空位用完后的出路，看后期实测，不和多放基础塔比",IF(AND(N101&lt;&gt;"",I101&lt;0.85),"功能型：单看输出偏低属正常",IF(I101&gt;=0.85,"划算",IF(I101&gt;=0.65,"略亏：空位紧张时仍值得","偏亏：建议降价或加强")))))</f>
        <v/>
      </c>
    </row>
    <row r="102">
      <c r="A102" s="9" t="inlineStr">
        <is>
          <t>tesla</t>
        </is>
      </c>
      <c r="B102" s="9" t="n">
        <v>1</v>
      </c>
      <c r="C102" s="9" t="n">
        <v>4</v>
      </c>
      <c r="D102" s="9" t="inlineStr">
        <is>
          <t>小队串联</t>
        </is>
      </c>
      <c r="E102" s="9" t="n">
        <v>500</v>
      </c>
      <c r="F102" s="9" t="n">
        <v>1075</v>
      </c>
      <c r="G102" s="9" t="n">
        <v>16.75</v>
      </c>
      <c r="H102" s="14">
        <f>G102/F102*100</f>
        <v/>
      </c>
      <c r="I102" s="14">
        <f>IFERROR((G102/F102)/(SUMIFS($G$3:$G$116,$A$3:$A$116,A102,$B$3:$B$116,0)/SUMIFS($F$3:$F$116,$A$3:$A$116,A102,$B$3:$B$116,0)),"")</f>
        <v/>
      </c>
      <c r="J102" s="14">
        <f>IFERROR(IF(B102=0,1,IF(C102&lt;=1,G102-SUMIFS($G$3:$G$116,$A$3:$A$116,A102,$B$3:$B$116,0),G102-G101)/E102/(SUMIFS($G$3:$G$116,$A$3:$A$116,A102,$B$3:$B$116,0)/SUMIFS($F$3:$F$116,$A$3:$A$116,A102,$B$3:$B$116,0))),"")</f>
        <v/>
      </c>
      <c r="K102" s="9" t="n">
        <v>0.624</v>
      </c>
      <c r="L102" s="9" t="n">
        <v>0.964</v>
      </c>
      <c r="M102" s="14">
        <f>IF(OR(K102="",L102="",L102=0),"",K102/L102)</f>
        <v/>
      </c>
      <c r="N102" s="9" t="inlineStr">
        <is>
          <t>传播</t>
        </is>
      </c>
      <c r="O102" s="9">
        <f>IF(B102=0,"基准",IF(C102=6,"6 级专精：空位用完后的出路，看后期实测，不和多放基础塔比",IF(AND(N102&lt;&gt;"",I102&lt;0.85),"功能型：单看输出偏低属正常",IF(I102&gt;=0.85,"划算",IF(I102&gt;=0.65,"略亏：空位紧张时仍值得","偏亏：建议降价或加强")))))</f>
        <v/>
      </c>
    </row>
    <row r="103">
      <c r="A103" s="9" t="inlineStr">
        <is>
          <t>tesla</t>
        </is>
      </c>
      <c r="B103" s="9" t="n">
        <v>1</v>
      </c>
      <c r="C103" s="9" t="n">
        <v>5</v>
      </c>
      <c r="D103" s="9" t="inlineStr">
        <is>
          <t>长链神曲</t>
        </is>
      </c>
      <c r="E103" s="9" t="n">
        <v>1400</v>
      </c>
      <c r="F103" s="9" t="n">
        <v>2475</v>
      </c>
      <c r="G103" s="9" t="n">
        <v>18.41</v>
      </c>
      <c r="H103" s="14">
        <f>G103/F103*100</f>
        <v/>
      </c>
      <c r="I103" s="14">
        <f>IFERROR((G103/F103)/(SUMIFS($G$3:$G$116,$A$3:$A$116,A103,$B$3:$B$116,0)/SUMIFS($F$3:$F$116,$A$3:$A$116,A103,$B$3:$B$116,0)),"")</f>
        <v/>
      </c>
      <c r="J103" s="14">
        <f>IFERROR(IF(B103=0,1,IF(C103&lt;=1,G103-SUMIFS($G$3:$G$116,$A$3:$A$116,A103,$B$3:$B$116,0),G103-G102)/E103/(SUMIFS($G$3:$G$116,$A$3:$A$116,A103,$B$3:$B$116,0)/SUMIFS($F$3:$F$116,$A$3:$A$116,A103,$B$3:$B$116,0))),"")</f>
        <v/>
      </c>
      <c r="K103" s="9" t="n"/>
      <c r="L103" s="9" t="n"/>
      <c r="M103" s="14">
        <f>IF(OR(K103="",L103="",L103=0),"",K103/L103)</f>
        <v/>
      </c>
      <c r="N103" s="9" t="inlineStr"/>
      <c r="O103" s="9">
        <f>IF(B103=0,"基准",IF(C103=6,"6 级专精：空位用完后的出路，看后期实测，不和多放基础塔比",IF(AND(N103&lt;&gt;"",I103&lt;0.85),"功能型：单看输出偏低属正常",IF(I103&gt;=0.85,"划算",IF(I103&gt;=0.65,"略亏：空位紧张时仍值得","偏亏：建议降价或加强")))))</f>
        <v/>
      </c>
    </row>
    <row r="104">
      <c r="A104" s="9" t="inlineStr">
        <is>
          <t>tesla</t>
        </is>
      </c>
      <c r="B104" s="9" t="n">
        <v>1</v>
      </c>
      <c r="C104" s="9" t="n">
        <v>6</v>
      </c>
      <c r="D104" s="9" t="inlineStr">
        <is>
          <t>巡回神曲</t>
        </is>
      </c>
      <c r="E104" s="9" t="n">
        <v>3400</v>
      </c>
      <c r="F104" s="9" t="n">
        <v>5875</v>
      </c>
      <c r="G104" s="9" t="n">
        <v>56</v>
      </c>
      <c r="H104" s="14">
        <f>G104/F104*100</f>
        <v/>
      </c>
      <c r="I104" s="14">
        <f>IFERROR((G104/F104)/(SUMIFS($G$3:$G$116,$A$3:$A$116,A104,$B$3:$B$116,0)/SUMIFS($F$3:$F$116,$A$3:$A$116,A104,$B$3:$B$116,0)),"")</f>
        <v/>
      </c>
      <c r="J104" s="14">
        <f>IFERROR(IF(B104=0,1,IF(C104&lt;=1,G104-SUMIFS($G$3:$G$116,$A$3:$A$116,A104,$B$3:$B$116,0),G104-G103)/E104/(SUMIFS($G$3:$G$116,$A$3:$A$116,A104,$B$3:$B$116,0)/SUMIFS($F$3:$F$116,$A$3:$A$116,A104,$B$3:$B$116,0))),"")</f>
        <v/>
      </c>
      <c r="K104" s="9" t="n"/>
      <c r="L104" s="9" t="n"/>
      <c r="M104" s="14">
        <f>IF(OR(K104="",L104="",L104=0),"",K104/L104)</f>
        <v/>
      </c>
      <c r="N104" s="9" t="inlineStr">
        <is>
          <t>传播</t>
        </is>
      </c>
      <c r="O104" s="9">
        <f>IF(B104=0,"基准",IF(C104=6,"6 级专精：空位用完后的出路，看后期实测，不和多放基础塔比",IF(AND(N104&lt;&gt;"",I104&lt;0.85),"功能型：单看输出偏低属正常",IF(I104&gt;=0.85,"划算",IF(I104&gt;=0.65,"略亏：空位紧张时仍值得","偏亏：建议降价或加强")))))</f>
        <v/>
      </c>
    </row>
    <row r="105">
      <c r="A105" s="9" t="inlineStr">
        <is>
          <t>tesla</t>
        </is>
      </c>
      <c r="B105" s="9" t="n">
        <v>2</v>
      </c>
      <c r="C105" s="9" t="n">
        <v>1</v>
      </c>
      <c r="D105" s="9" t="inlineStr">
        <is>
          <t>低音炮</t>
        </is>
      </c>
      <c r="E105" s="9" t="n">
        <v>70</v>
      </c>
      <c r="F105" s="9" t="n">
        <v>220</v>
      </c>
      <c r="G105" s="9" t="n">
        <v>9.6</v>
      </c>
      <c r="H105" s="14">
        <f>G105/F105*100</f>
        <v/>
      </c>
      <c r="I105" s="14">
        <f>IFERROR((G105/F105)/(SUMIFS($G$3:$G$116,$A$3:$A$116,A105,$B$3:$B$116,0)/SUMIFS($F$3:$F$116,$A$3:$A$116,A105,$B$3:$B$116,0)),"")</f>
        <v/>
      </c>
      <c r="J105" s="14">
        <f>IFERROR(IF(B105=0,1,IF(C105&lt;=1,G105-SUMIFS($G$3:$G$116,$A$3:$A$116,A105,$B$3:$B$116,0),G105-G104)/E105/(SUMIFS($G$3:$G$116,$A$3:$A$116,A105,$B$3:$B$116,0)/SUMIFS($F$3:$F$116,$A$3:$A$116,A105,$B$3:$B$116,0))),"")</f>
        <v/>
      </c>
      <c r="K105" s="9" t="n">
        <v>0.425</v>
      </c>
      <c r="L105" s="9" t="n">
        <v>0.375</v>
      </c>
      <c r="M105" s="14">
        <f>IF(OR(K105="",L105="",L105=0),"",K105/L105)</f>
        <v/>
      </c>
      <c r="N105" s="9" t="inlineStr"/>
      <c r="O105" s="9">
        <f>IF(B105=0,"基准",IF(C105=6,"6 级专精：空位用完后的出路，看后期实测，不和多放基础塔比",IF(AND(N105&lt;&gt;"",I105&lt;0.85),"功能型：单看输出偏低属正常",IF(I105&gt;=0.85,"划算",IF(I105&gt;=0.65,"略亏：空位紧张时仍值得","偏亏：建议降价或加强")))))</f>
        <v/>
      </c>
    </row>
    <row r="106">
      <c r="A106" s="9" t="inlineStr">
        <is>
          <t>tesla</t>
        </is>
      </c>
      <c r="B106" s="9" t="n">
        <v>2</v>
      </c>
      <c r="C106" s="9" t="n">
        <v>2</v>
      </c>
      <c r="D106" s="9" t="inlineStr">
        <is>
          <t>共振</t>
        </is>
      </c>
      <c r="E106" s="9" t="n">
        <v>130</v>
      </c>
      <c r="F106" s="9" t="n">
        <v>350</v>
      </c>
      <c r="G106" s="9" t="n">
        <v>13.93</v>
      </c>
      <c r="H106" s="14">
        <f>G106/F106*100</f>
        <v/>
      </c>
      <c r="I106" s="14">
        <f>IFERROR((G106/F106)/(SUMIFS($G$3:$G$116,$A$3:$A$116,A106,$B$3:$B$116,0)/SUMIFS($F$3:$F$116,$A$3:$A$116,A106,$B$3:$B$116,0)),"")</f>
        <v/>
      </c>
      <c r="J106" s="14">
        <f>IFERROR(IF(B106=0,1,IF(C106&lt;=1,G106-SUMIFS($G$3:$G$116,$A$3:$A$116,A106,$B$3:$B$116,0),G106-G105)/E106/(SUMIFS($G$3:$G$116,$A$3:$A$116,A106,$B$3:$B$116,0)/SUMIFS($F$3:$F$116,$A$3:$A$116,A106,$B$3:$B$116,0))),"")</f>
        <v/>
      </c>
      <c r="K106" s="9" t="n">
        <v>0.403</v>
      </c>
      <c r="L106" s="9" t="n">
        <v>0.574</v>
      </c>
      <c r="M106" s="14">
        <f>IF(OR(K106="",L106="",L106=0),"",K106/L106)</f>
        <v/>
      </c>
      <c r="N106" s="9" t="inlineStr"/>
      <c r="O106" s="9">
        <f>IF(B106=0,"基准",IF(C106=6,"6 级专精：空位用完后的出路，看后期实测，不和多放基础塔比",IF(AND(N106&lt;&gt;"",I106&lt;0.85),"功能型：单看输出偏低属正常",IF(I106&gt;=0.85,"划算",IF(I106&gt;=0.65,"略亏：空位紧张时仍值得","偏亏：建议降价或加强")))))</f>
        <v/>
      </c>
    </row>
    <row r="107">
      <c r="A107" s="9" t="inlineStr">
        <is>
          <t>tesla</t>
        </is>
      </c>
      <c r="B107" s="9" t="n">
        <v>2</v>
      </c>
      <c r="C107" s="9" t="n">
        <v>3</v>
      </c>
      <c r="D107" s="9" t="inlineStr">
        <is>
          <t>音符积累</t>
        </is>
      </c>
      <c r="E107" s="9" t="n">
        <v>240</v>
      </c>
      <c r="F107" s="9" t="n">
        <v>590</v>
      </c>
      <c r="G107" s="9" t="n">
        <v>13.93</v>
      </c>
      <c r="H107" s="14">
        <f>G107/F107*100</f>
        <v/>
      </c>
      <c r="I107" s="14">
        <f>IFERROR((G107/F107)/(SUMIFS($G$3:$G$116,$A$3:$A$116,A107,$B$3:$B$116,0)/SUMIFS($F$3:$F$116,$A$3:$A$116,A107,$B$3:$B$116,0)),"")</f>
        <v/>
      </c>
      <c r="J107" s="14">
        <f>IFERROR(IF(B107=0,1,IF(C107&lt;=1,G107-SUMIFS($G$3:$G$116,$A$3:$A$116,A107,$B$3:$B$116,0),G107-G106)/E107/(SUMIFS($G$3:$G$116,$A$3:$A$116,A107,$B$3:$B$116,0)/SUMIFS($F$3:$F$116,$A$3:$A$116,A107,$B$3:$B$116,0))),"")</f>
        <v/>
      </c>
      <c r="K107" s="9" t="n">
        <v>0.423</v>
      </c>
      <c r="L107" s="9" t="n">
        <v>0.824</v>
      </c>
      <c r="M107" s="14">
        <f>IF(OR(K107="",L107="",L107=0),"",K107/L107)</f>
        <v/>
      </c>
      <c r="N107" s="9" t="inlineStr"/>
      <c r="O107" s="9">
        <f>IF(B107=0,"基准",IF(C107=6,"6 级专精：空位用完后的出路，看后期实测，不和多放基础塔比",IF(AND(N107&lt;&gt;"",I107&lt;0.85),"功能型：单看输出偏低属正常",IF(I107&gt;=0.85,"划算",IF(I107&gt;=0.65,"略亏：空位紧张时仍值得","偏亏：建议降价或加强")))))</f>
        <v/>
      </c>
    </row>
    <row r="108">
      <c r="A108" s="9" t="inlineStr">
        <is>
          <t>tesla</t>
        </is>
      </c>
      <c r="B108" s="9" t="n">
        <v>2</v>
      </c>
      <c r="C108" s="9" t="n">
        <v>4</v>
      </c>
      <c r="D108" s="9" t="inlineStr">
        <is>
          <t>共振扩散</t>
        </is>
      </c>
      <c r="E108" s="9" t="n">
        <v>520</v>
      </c>
      <c r="F108" s="9" t="n">
        <v>1110</v>
      </c>
      <c r="G108" s="9" t="n">
        <v>16.81</v>
      </c>
      <c r="H108" s="14">
        <f>G108/F108*100</f>
        <v/>
      </c>
      <c r="I108" s="14">
        <f>IFERROR((G108/F108)/(SUMIFS($G$3:$G$116,$A$3:$A$116,A108,$B$3:$B$116,0)/SUMIFS($F$3:$F$116,$A$3:$A$116,A108,$B$3:$B$116,0)),"")</f>
        <v/>
      </c>
      <c r="J108" s="14">
        <f>IFERROR(IF(B108=0,1,IF(C108&lt;=1,G108-SUMIFS($G$3:$G$116,$A$3:$A$116,A108,$B$3:$B$116,0),G108-G107)/E108/(SUMIFS($G$3:$G$116,$A$3:$A$116,A108,$B$3:$B$116,0)/SUMIFS($F$3:$F$116,$A$3:$A$116,A108,$B$3:$B$116,0))),"")</f>
        <v/>
      </c>
      <c r="K108" s="9" t="n">
        <v>0.602</v>
      </c>
      <c r="L108" s="9" t="n">
        <v>0.974</v>
      </c>
      <c r="M108" s="14">
        <f>IF(OR(K108="",L108="",L108=0),"",K108/L108)</f>
        <v/>
      </c>
      <c r="N108" s="9" t="inlineStr"/>
      <c r="O108" s="9">
        <f>IF(B108=0,"基准",IF(C108=6,"6 级专精：空位用完后的出路，看后期实测，不和多放基础塔比",IF(AND(N108&lt;&gt;"",I108&lt;0.85),"功能型：单看输出偏低属正常",IF(I108&gt;=0.85,"划算",IF(I108&gt;=0.65,"略亏：空位紧张时仍值得","偏亏：建议降价或加强")))))</f>
        <v/>
      </c>
    </row>
    <row r="109">
      <c r="A109" s="9" t="inlineStr">
        <is>
          <t>tesla</t>
        </is>
      </c>
      <c r="B109" s="9" t="n">
        <v>2</v>
      </c>
      <c r="C109" s="9" t="n">
        <v>5</v>
      </c>
      <c r="D109" s="9" t="inlineStr">
        <is>
          <t>同步爆发</t>
        </is>
      </c>
      <c r="E109" s="9" t="n">
        <v>1500</v>
      </c>
      <c r="F109" s="9" t="n">
        <v>2610</v>
      </c>
      <c r="G109" s="9" t="n">
        <v>36.81</v>
      </c>
      <c r="H109" s="14">
        <f>G109/F109*100</f>
        <v/>
      </c>
      <c r="I109" s="14">
        <f>IFERROR((G109/F109)/(SUMIFS($G$3:$G$116,$A$3:$A$116,A109,$B$3:$B$116,0)/SUMIFS($F$3:$F$116,$A$3:$A$116,A109,$B$3:$B$116,0)),"")</f>
        <v/>
      </c>
      <c r="J109" s="14">
        <f>IFERROR(IF(B109=0,1,IF(C109&lt;=1,G109-SUMIFS($G$3:$G$116,$A$3:$A$116,A109,$B$3:$B$116,0),G109-G108)/E109/(SUMIFS($G$3:$G$116,$A$3:$A$116,A109,$B$3:$B$116,0)/SUMIFS($F$3:$F$116,$A$3:$A$116,A109,$B$3:$B$116,0))),"")</f>
        <v/>
      </c>
      <c r="K109" s="9" t="n"/>
      <c r="L109" s="9" t="n"/>
      <c r="M109" s="14">
        <f>IF(OR(K109="",L109="",L109=0),"",K109/L109)</f>
        <v/>
      </c>
      <c r="N109" s="9" t="inlineStr"/>
      <c r="O109" s="9">
        <f>IF(B109=0,"基准",IF(C109=6,"6 级专精：空位用完后的出路，看后期实测，不和多放基础塔比",IF(AND(N109&lt;&gt;"",I109&lt;0.85),"功能型：单看输出偏低属正常",IF(I109&gt;=0.85,"划算",IF(I109&gt;=0.65,"略亏：空位紧张时仍值得","偏亏：建议降价或加强")))))</f>
        <v/>
      </c>
    </row>
    <row r="110">
      <c r="A110" s="9" t="inlineStr">
        <is>
          <t>tesla</t>
        </is>
      </c>
      <c r="B110" s="9" t="n">
        <v>2</v>
      </c>
      <c r="C110" s="9" t="n">
        <v>6</v>
      </c>
      <c r="D110" s="9" t="inlineStr">
        <is>
          <t>超级低音炮</t>
        </is>
      </c>
      <c r="E110" s="9" t="n">
        <v>3600</v>
      </c>
      <c r="F110" s="9" t="n">
        <v>6210</v>
      </c>
      <c r="G110" s="9" t="n">
        <v>155.74</v>
      </c>
      <c r="H110" s="14">
        <f>G110/F110*100</f>
        <v/>
      </c>
      <c r="I110" s="14">
        <f>IFERROR((G110/F110)/(SUMIFS($G$3:$G$116,$A$3:$A$116,A110,$B$3:$B$116,0)/SUMIFS($F$3:$F$116,$A$3:$A$116,A110,$B$3:$B$116,0)),"")</f>
        <v/>
      </c>
      <c r="J110" s="14">
        <f>IFERROR(IF(B110=0,1,IF(C110&lt;=1,G110-SUMIFS($G$3:$G$116,$A$3:$A$116,A110,$B$3:$B$116,0),G110-G109)/E110/(SUMIFS($G$3:$G$116,$A$3:$A$116,A110,$B$3:$B$116,0)/SUMIFS($F$3:$F$116,$A$3:$A$116,A110,$B$3:$B$116,0))),"")</f>
        <v/>
      </c>
      <c r="K110" s="9" t="n"/>
      <c r="L110" s="9" t="n"/>
      <c r="M110" s="14">
        <f>IF(OR(K110="",L110="",L110=0),"",K110/L110)</f>
        <v/>
      </c>
      <c r="N110" s="9" t="inlineStr"/>
      <c r="O110" s="9">
        <f>IF(B110=0,"基准",IF(C110=6,"6 级专精：空位用完后的出路，看后期实测，不和多放基础塔比",IF(AND(N110&lt;&gt;"",I110&lt;0.85),"功能型：单看输出偏低属正常",IF(I110&gt;=0.85,"划算",IF(I110&gt;=0.65,"略亏：空位紧张时仍值得","偏亏：建议降价或加强")))))</f>
        <v/>
      </c>
    </row>
    <row r="111">
      <c r="A111" s="9" t="inlineStr">
        <is>
          <t>tesla</t>
        </is>
      </c>
      <c r="B111" s="9" t="n">
        <v>3</v>
      </c>
      <c r="C111" s="9" t="n">
        <v>1</v>
      </c>
      <c r="D111" s="9" t="inlineStr">
        <is>
          <t>余音</t>
        </is>
      </c>
      <c r="E111" s="9" t="n">
        <v>50</v>
      </c>
      <c r="F111" s="9" t="n">
        <v>200</v>
      </c>
      <c r="G111" s="9" t="n">
        <v>6.4</v>
      </c>
      <c r="H111" s="14">
        <f>G111/F111*100</f>
        <v/>
      </c>
      <c r="I111" s="14">
        <f>IFERROR((G111/F111)/(SUMIFS($G$3:$G$116,$A$3:$A$116,A111,$B$3:$B$116,0)/SUMIFS($F$3:$F$116,$A$3:$A$116,A111,$B$3:$B$116,0)),"")</f>
        <v/>
      </c>
      <c r="J111" s="14">
        <f>IFERROR(IF(B111=0,1,IF(C111&lt;=1,G111-SUMIFS($G$3:$G$116,$A$3:$A$116,A111,$B$3:$B$116,0),G111-G110)/E111/(SUMIFS($G$3:$G$116,$A$3:$A$116,A111,$B$3:$B$116,0)/SUMIFS($F$3:$F$116,$A$3:$A$116,A111,$B$3:$B$116,0))),"")</f>
        <v/>
      </c>
      <c r="K111" s="9" t="n">
        <v>0.256</v>
      </c>
      <c r="L111" s="9" t="n">
        <v>0.344</v>
      </c>
      <c r="M111" s="14">
        <f>IF(OR(K111="",L111="",L111=0),"",K111/L111)</f>
        <v/>
      </c>
      <c r="N111" s="9" t="inlineStr">
        <is>
          <t>发懵</t>
        </is>
      </c>
      <c r="O111" s="9">
        <f>IF(B111=0,"基准",IF(C111=6,"6 级专精：空位用完后的出路，看后期实测，不和多放基础塔比",IF(AND(N111&lt;&gt;"",I111&lt;0.85),"功能型：单看输出偏低属正常",IF(I111&gt;=0.85,"划算",IF(I111&gt;=0.65,"略亏：空位紧张时仍值得","偏亏：建议降价或加强")))))</f>
        <v/>
      </c>
    </row>
    <row r="112">
      <c r="A112" s="9" t="inlineStr">
        <is>
          <t>tesla</t>
        </is>
      </c>
      <c r="B112" s="9" t="n">
        <v>3</v>
      </c>
      <c r="C112" s="9" t="n">
        <v>2</v>
      </c>
      <c r="D112" s="9" t="inlineStr">
        <is>
          <t>耳虫</t>
        </is>
      </c>
      <c r="E112" s="9" t="n">
        <v>110</v>
      </c>
      <c r="F112" s="9" t="n">
        <v>310</v>
      </c>
      <c r="G112" s="9" t="n">
        <v>8.199999999999999</v>
      </c>
      <c r="H112" s="14">
        <f>G112/F112*100</f>
        <v/>
      </c>
      <c r="I112" s="14">
        <f>IFERROR((G112/F112)/(SUMIFS($G$3:$G$116,$A$3:$A$116,A112,$B$3:$B$116,0)/SUMIFS($F$3:$F$116,$A$3:$A$116,A112,$B$3:$B$116,0)),"")</f>
        <v/>
      </c>
      <c r="J112" s="14">
        <f>IFERROR(IF(B112=0,1,IF(C112&lt;=1,G112-SUMIFS($G$3:$G$116,$A$3:$A$116,A112,$B$3:$B$116,0),G112-G111)/E112/(SUMIFS($G$3:$G$116,$A$3:$A$116,A112,$B$3:$B$116,0)/SUMIFS($F$3:$F$116,$A$3:$A$116,A112,$B$3:$B$116,0))),"")</f>
        <v/>
      </c>
      <c r="K112" s="9" t="n">
        <v>0.421</v>
      </c>
      <c r="L112" s="9" t="n">
        <v>0.515</v>
      </c>
      <c r="M112" s="14">
        <f>IF(OR(K112="",L112="",L112=0),"",K112/L112)</f>
        <v/>
      </c>
      <c r="N112" s="9" t="inlineStr"/>
      <c r="O112" s="9">
        <f>IF(B112=0,"基准",IF(C112=6,"6 级专精：空位用完后的出路，看后期实测，不和多放基础塔比",IF(AND(N112&lt;&gt;"",I112&lt;0.85),"功能型：单看输出偏低属正常",IF(I112&gt;=0.85,"划算",IF(I112&gt;=0.65,"略亏：空位紧张时仍值得","偏亏：建议降价或加强")))))</f>
        <v/>
      </c>
    </row>
    <row r="113">
      <c r="A113" s="9" t="inlineStr">
        <is>
          <t>tesla</t>
        </is>
      </c>
      <c r="B113" s="9" t="n">
        <v>3</v>
      </c>
      <c r="C113" s="9" t="n">
        <v>3</v>
      </c>
      <c r="D113" s="9" t="inlineStr">
        <is>
          <t>离场余音</t>
        </is>
      </c>
      <c r="E113" s="9" t="n">
        <v>300</v>
      </c>
      <c r="F113" s="9" t="n">
        <v>610</v>
      </c>
      <c r="G113" s="9" t="n">
        <v>8.199999999999999</v>
      </c>
      <c r="H113" s="14">
        <f>G113/F113*100</f>
        <v/>
      </c>
      <c r="I113" s="14">
        <f>IFERROR((G113/F113)/(SUMIFS($G$3:$G$116,$A$3:$A$116,A113,$B$3:$B$116,0)/SUMIFS($F$3:$F$116,$A$3:$A$116,A113,$B$3:$B$116,0)),"")</f>
        <v/>
      </c>
      <c r="J113" s="14">
        <f>IFERROR(IF(B113=0,1,IF(C113&lt;=1,G113-SUMIFS($G$3:$G$116,$A$3:$A$116,A113,$B$3:$B$116,0),G113-G112)/E113/(SUMIFS($G$3:$G$116,$A$3:$A$116,A113,$B$3:$B$116,0)/SUMIFS($F$3:$F$116,$A$3:$A$116,A113,$B$3:$B$116,0))),"")</f>
        <v/>
      </c>
      <c r="K113" s="9" t="n">
        <v>0.444</v>
      </c>
      <c r="L113" s="9" t="n">
        <v>0.834</v>
      </c>
      <c r="M113" s="14">
        <f>IF(OR(K113="",L113="",L113=0),"",K113/L113)</f>
        <v/>
      </c>
      <c r="N113" s="9" t="inlineStr"/>
      <c r="O113" s="9">
        <f>IF(B113=0,"基准",IF(C113=6,"6 级专精：空位用完后的出路，看后期实测，不和多放基础塔比",IF(AND(N113&lt;&gt;"",I113&lt;0.85),"功能型：单看输出偏低属正常",IF(I113&gt;=0.85,"划算",IF(I113&gt;=0.65,"略亏：空位紧张时仍值得","偏亏：建议降价或加强")))))</f>
        <v/>
      </c>
    </row>
    <row r="114">
      <c r="A114" s="9" t="inlineStr">
        <is>
          <t>tesla</t>
        </is>
      </c>
      <c r="B114" s="9" t="n">
        <v>3</v>
      </c>
      <c r="C114" s="9" t="n">
        <v>4</v>
      </c>
      <c r="D114" s="9" t="inlineStr">
        <is>
          <t>强化余音</t>
        </is>
      </c>
      <c r="E114" s="9" t="n">
        <v>600</v>
      </c>
      <c r="F114" s="9" t="n">
        <v>1210</v>
      </c>
      <c r="G114" s="9" t="n">
        <v>10</v>
      </c>
      <c r="H114" s="14">
        <f>G114/F114*100</f>
        <v/>
      </c>
      <c r="I114" s="14">
        <f>IFERROR((G114/F114)/(SUMIFS($G$3:$G$116,$A$3:$A$116,A114,$B$3:$B$116,0)/SUMIFS($F$3:$F$116,$A$3:$A$116,A114,$B$3:$B$116,0)),"")</f>
        <v/>
      </c>
      <c r="J114" s="14">
        <f>IFERROR(IF(B114=0,1,IF(C114&lt;=1,G114-SUMIFS($G$3:$G$116,$A$3:$A$116,A114,$B$3:$B$116,0),G114-G113)/E114/(SUMIFS($G$3:$G$116,$A$3:$A$116,A114,$B$3:$B$116,0)/SUMIFS($F$3:$F$116,$A$3:$A$116,A114,$B$3:$B$116,0))),"")</f>
        <v/>
      </c>
      <c r="K114" s="9" t="n">
        <v>0.611</v>
      </c>
      <c r="L114" s="9" t="n">
        <v>1</v>
      </c>
      <c r="M114" s="14">
        <f>IF(OR(K114="",L114="",L114=0),"",K114/L114)</f>
        <v/>
      </c>
      <c r="N114" s="9" t="inlineStr"/>
      <c r="O114" s="9">
        <f>IF(B114=0,"基准",IF(C114=6,"6 级专精：空位用完后的出路，看后期实测，不和多放基础塔比",IF(AND(N114&lt;&gt;"",I114&lt;0.85),"功能型：单看输出偏低属正常",IF(I114&gt;=0.85,"划算",IF(I114&gt;=0.65,"略亏：空位紧张时仍值得","偏亏：建议降价或加强")))))</f>
        <v/>
      </c>
    </row>
    <row r="115">
      <c r="A115" s="9" t="inlineStr">
        <is>
          <t>tesla</t>
        </is>
      </c>
      <c r="B115" s="9" t="n">
        <v>3</v>
      </c>
      <c r="C115" s="9" t="n">
        <v>5</v>
      </c>
      <c r="D115" s="9" t="inlineStr">
        <is>
          <t>专属耳虫</t>
        </is>
      </c>
      <c r="E115" s="9" t="n">
        <v>1300</v>
      </c>
      <c r="F115" s="9" t="n">
        <v>2510</v>
      </c>
      <c r="G115" s="9" t="n">
        <v>16</v>
      </c>
      <c r="H115" s="14">
        <f>G115/F115*100</f>
        <v/>
      </c>
      <c r="I115" s="14">
        <f>IFERROR((G115/F115)/(SUMIFS($G$3:$G$116,$A$3:$A$116,A115,$B$3:$B$116,0)/SUMIFS($F$3:$F$116,$A$3:$A$116,A115,$B$3:$B$116,0)),"")</f>
        <v/>
      </c>
      <c r="J115" s="14">
        <f>IFERROR(IF(B115=0,1,IF(C115&lt;=1,G115-SUMIFS($G$3:$G$116,$A$3:$A$116,A115,$B$3:$B$116,0),G115-G114)/E115/(SUMIFS($G$3:$G$116,$A$3:$A$116,A115,$B$3:$B$116,0)/SUMIFS($F$3:$F$116,$A$3:$A$116,A115,$B$3:$B$116,0))),"")</f>
        <v/>
      </c>
      <c r="K115" s="9" t="n"/>
      <c r="L115" s="9" t="n"/>
      <c r="M115" s="14">
        <f>IF(OR(K115="",L115="",L115=0),"",K115/L115)</f>
        <v/>
      </c>
      <c r="N115" s="9" t="inlineStr">
        <is>
          <t>耳虫</t>
        </is>
      </c>
      <c r="O115" s="9">
        <f>IF(B115=0,"基准",IF(C115=6,"6 级专精：空位用完后的出路，看后期实测，不和多放基础塔比",IF(AND(N115&lt;&gt;"",I115&lt;0.85),"功能型：单看输出偏低属正常",IF(I115&gt;=0.85,"划算",IF(I115&gt;=0.65,"略亏：空位紧张时仍值得","偏亏：建议降价或加强")))))</f>
        <v/>
      </c>
    </row>
    <row r="116">
      <c r="A116" s="9" t="inlineStr">
        <is>
          <t>tesla</t>
        </is>
      </c>
      <c r="B116" s="9" t="n">
        <v>3</v>
      </c>
      <c r="C116" s="9" t="n">
        <v>6</v>
      </c>
      <c r="D116" s="9" t="inlineStr">
        <is>
          <t>终极耳虫</t>
        </is>
      </c>
      <c r="E116" s="9" t="n">
        <v>3200</v>
      </c>
      <c r="F116" s="9" t="n">
        <v>5710</v>
      </c>
      <c r="G116" s="9" t="n">
        <v>44.8</v>
      </c>
      <c r="H116" s="14">
        <f>G116/F116*100</f>
        <v/>
      </c>
      <c r="I116" s="14">
        <f>IFERROR((G116/F116)/(SUMIFS($G$3:$G$116,$A$3:$A$116,A116,$B$3:$B$116,0)/SUMIFS($F$3:$F$116,$A$3:$A$116,A116,$B$3:$B$116,0)),"")</f>
        <v/>
      </c>
      <c r="J116" s="14">
        <f>IFERROR(IF(B116=0,1,IF(C116&lt;=1,G116-SUMIFS($G$3:$G$116,$A$3:$A$116,A116,$B$3:$B$116,0),G116-G115)/E116/(SUMIFS($G$3:$G$116,$A$3:$A$116,A116,$B$3:$B$116,0)/SUMIFS($F$3:$F$116,$A$3:$A$116,A116,$B$3:$B$116,0))),"")</f>
        <v/>
      </c>
      <c r="K116" s="9" t="n"/>
      <c r="L116" s="9" t="n"/>
      <c r="M116" s="14">
        <f>IF(OR(K116="",L116="",L116=0),"",K116/L116)</f>
        <v/>
      </c>
      <c r="N116" s="9" t="inlineStr">
        <is>
          <t>耳虫</t>
        </is>
      </c>
      <c r="O116" s="9">
        <f>IF(B116=0,"基准",IF(C116=6,"6 级专精：空位用完后的出路，看后期实测，不和多放基础塔比",IF(AND(N116&lt;&gt;"",I116&lt;0.85),"功能型：单看输出偏低属正常",IF(I116&gt;=0.85,"划算",IF(I116&gt;=0.65,"略亏：空位紧张时仍值得","偏亏：建议降价或加强")))))</f>
        <v/>
      </c>
    </row>
    <row r="118">
      <c r="A118" s="10" t="inlineStr">
        <is>
          <t>怎么看：「比同价多买基础塔」= 这套升级每 GST 的输出 ÷ 基础装置每 GST 的输出。1.0 表示和把钱拿去多放几座基础装置一样划算；装置空位有限，所以 0.85 以上就算合格。</t>
        </is>
      </c>
    </row>
    <row r="119">
      <c r="A119" s="10" t="inlineStr">
        <is>
          <t>估算假设：跑者间距 26 像素，射程内覆盖跑道 ≈ 1.6 × 射程，射程内最多 8 人。减速、冻结、眩晕、经济、光环等功能型效果不计入输出。</t>
        </is>
      </c>
    </row>
    <row r="120">
      <c r="A120" s="10" t="inlineStr">
        <is>
          <t>实测：在经典跑道上用同一波 30 人测试，比较「一座升级装置」和「花同样 GST 放几座基础装置」各清掉多少体力（脚本 tools/sim_duel.mjs）。实测只覆盖 1–4 级。</t>
        </is>
      </c>
    </row>
    <row r="121">
      <c r="A121" s="10" t="inlineStr">
        <is>
          <t>休闲诱惑站和矿机不造成直接伤害（让跑者停下、挖矿），不放进本表比较。连击、音符、投递区类的 3–4 级是给 5、6 级攒能力，单看这一级会偏亏。</t>
        </is>
      </c>
    </row>
    <row r="122">
      <c r="A122" s="10" t="inlineStr">
        <is>
          <t>本表的估算列和实测列是生成时的快照：改了「装置」「升级」表的数值后，需要维护者重新运行 build.sh 才会更新；比值和结论列是公式，会随快照自动重算。</t>
        </is>
      </c>
    </row>
  </sheetData>
  <conditionalFormatting sqref="I3:I116">
    <cfRule type="cellIs" priority="1" operator="greaterThanOrEqual" dxfId="2">
      <formula>0.85</formula>
    </cfRule>
    <cfRule type="cellIs" priority="2" operator="between" dxfId="1">
      <formula>0.65</formula>
      <formula>0.8499</formula>
    </cfRule>
    <cfRule type="cellIs" priority="3" operator="lessThan" dxfId="0">
      <formula>0.65</formula>
    </cfRule>
  </conditionalFormatting>
  <conditionalFormatting sqref="M3:M116">
    <cfRule type="cellIs" priority="4" operator="greaterThanOrEqual" dxfId="2">
      <formula>0.85</formula>
    </cfRule>
    <cfRule type="cellIs" priority="5" operator="between" dxfId="1">
      <formula>0.65</formula>
      <formula>0.8499</formula>
    </cfRule>
    <cfRule type="cellIs" priority="6" operator="lessThan" dxfId="0">
      <formula>0.65</formula>
    </cfRule>
  </conditionalFormatting>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2026-10-17T23:28:05Z</dcterms:created>
  <dcterms:modified xmlns:dcterms="http://purl.org/dc/terms/" xmlns:xsi="http://www.w3.org/2001/XMLSchema-instance" xsi:type="dcterms:W3CDTF">2026-10-17T23:28:05Z</dcterms:modified>
</cp:coreProperties>
</file>