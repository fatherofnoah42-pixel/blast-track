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地图：每种跑道的路线点（空位坐标已不再使用：装置可以放在跑道外任意空格子上）</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slowCap</t>
        </is>
      </c>
      <c r="B65" s="7" t="n">
        <v>0.85</v>
      </c>
      <c r="C65" s="8" t="inlineStr">
        <is>
          <t>减速上限</t>
        </is>
      </c>
    </row>
    <row r="66">
      <c r="A66" s="6" t="inlineStr">
        <is>
          <t>bossSlowMult</t>
        </is>
      </c>
      <c r="B66" s="7" t="n">
        <v>0.5</v>
      </c>
      <c r="C66" s="8" t="inlineStr">
        <is>
          <t>Boss 受减速的比例（未升「冰桶挑战」时）</t>
        </is>
      </c>
    </row>
    <row r="67">
      <c r="A67" s="6" t="inlineStr">
        <is>
          <t>bossStunMult</t>
        </is>
      </c>
      <c r="B67" s="7" t="n">
        <v>0.25</v>
      </c>
      <c r="C67" s="8" t="inlineStr">
        <is>
          <t>Boss 受眩晕时长比例</t>
        </is>
      </c>
    </row>
    <row r="68">
      <c r="A68" s="6" t="inlineStr">
        <is>
          <t>miniHp</t>
        </is>
      </c>
      <c r="B68" s="7" t="n">
        <v>0.35</v>
      </c>
      <c r="C68" s="8" t="inlineStr">
        <is>
          <t>跑团：跟跑者体力占原跑者比例</t>
        </is>
      </c>
    </row>
    <row r="69">
      <c r="A69" s="6" t="inlineStr">
        <is>
          <t>miniGold</t>
        </is>
      </c>
      <c r="B69" s="7" t="n">
        <v>2</v>
      </c>
      <c r="C69" s="8" t="inlineStr">
        <is>
          <t>跟跑者 GST</t>
        </is>
      </c>
    </row>
    <row r="70">
      <c r="A70" s="6" t="inlineStr">
        <is>
          <t>miniSpeed</t>
        </is>
      </c>
      <c r="B70" s="7" t="n">
        <v>1.15</v>
      </c>
      <c r="C70" s="8" t="inlineStr">
        <is>
          <t>跟跑者速度倍率</t>
        </is>
      </c>
    </row>
    <row r="71">
      <c r="A71" s="6" t="inlineStr">
        <is>
          <t>shieldPct</t>
        </is>
      </c>
      <c r="B71" s="7" t="n">
        <v>0.35</v>
      </c>
      <c r="C71" s="8" t="inlineStr">
        <is>
          <t>能量盾占体力比例</t>
        </is>
      </c>
    </row>
    <row r="72">
      <c r="A72" s="6" t="inlineStr">
        <is>
          <t>regenPct</t>
        </is>
      </c>
      <c r="B72" s="7" t="n">
        <v>0.05</v>
      </c>
      <c r="C72" s="8" t="inlineStr">
        <is>
          <t>补给词缀：每秒回复比例</t>
        </is>
      </c>
    </row>
    <row r="73">
      <c r="A73" s="6" t="inlineStr">
        <is>
          <t>regenDelay</t>
        </is>
      </c>
      <c r="B73" s="7" t="n">
        <v>1</v>
      </c>
      <c r="C73" s="8" t="inlineStr">
        <is>
          <t>补给词缀：多久没被干扰开始回复（秒）</t>
        </is>
      </c>
    </row>
    <row r="74">
      <c r="A74" s="6" t="inlineStr">
        <is>
          <t>swiftMult</t>
        </is>
      </c>
      <c r="B74" s="7" t="n">
        <v>1.4</v>
      </c>
      <c r="C74" s="8" t="inlineStr">
        <is>
          <t>冲刺词缀：速度倍率</t>
        </is>
      </c>
    </row>
    <row r="75">
      <c r="A75" s="6" t="inlineStr">
        <is>
          <t>shrapnelRange</t>
        </is>
      </c>
      <c r="B75" s="7" t="n">
        <v>90</v>
      </c>
      <c r="C75" s="8" t="inlineStr">
        <is>
          <t>香蕉碎片：溅射距离</t>
        </is>
      </c>
    </row>
    <row r="76">
      <c r="A76" s="6" t="inlineStr">
        <is>
          <t>shrapnelPct</t>
        </is>
      </c>
      <c r="B76" s="7" t="n">
        <v>0.3</v>
      </c>
      <c r="C76" s="8" t="inlineStr">
        <is>
          <t>香蕉碎片：每块效果比例</t>
        </is>
      </c>
    </row>
    <row r="77">
      <c r="A77" s="6" t="inlineStr">
        <is>
          <t>clusterPct</t>
        </is>
      </c>
      <c r="B77" s="7" t="n">
        <v>0.4</v>
      </c>
      <c r="C77" s="8" t="inlineStr">
        <is>
          <t>小香蕉：效果比例</t>
        </is>
      </c>
    </row>
    <row r="78">
      <c r="A78" s="6" t="inlineStr">
        <is>
          <t>firePatchDps</t>
        </is>
      </c>
      <c r="B78" s="7" t="n">
        <v>0.6</v>
      </c>
      <c r="C78" s="8" t="inlineStr">
        <is>
          <t>辣油泼地：每秒效果比例</t>
        </is>
      </c>
    </row>
    <row r="79">
      <c r="A79" s="6" t="inlineStr">
        <is>
          <t>infernoRadius</t>
        </is>
      </c>
      <c r="B79" s="7" t="n">
        <v>42</v>
      </c>
      <c r="C79" s="8" t="inlineStr">
        <is>
          <t>火锅底料：溅射半径</t>
        </is>
      </c>
    </row>
    <row r="80">
      <c r="A80" s="6" t="inlineStr">
        <is>
          <t>iceAgeFreeze</t>
        </is>
      </c>
      <c r="B80" s="7" t="n">
        <v>2</v>
      </c>
      <c r="C80" s="8" t="inlineStr">
        <is>
          <t>人工降雪：冻结时长（秒）</t>
        </is>
      </c>
    </row>
    <row r="81">
      <c r="A81" s="6" t="inlineStr">
        <is>
          <t>ricochetPct</t>
        </is>
      </c>
      <c r="B81" s="7" t="n">
        <v>0.5</v>
      </c>
      <c r="C81" s="8" t="inlineStr">
        <is>
          <t>弹跳鞋盒：效果比例</t>
        </is>
      </c>
    </row>
    <row r="82">
      <c r="A82" s="6" t="inlineStr">
        <is>
          <t>ricochetRange</t>
        </is>
      </c>
      <c r="B82" s="7" t="n">
        <v>120</v>
      </c>
      <c r="C82" s="8" t="inlineStr">
        <is>
          <t>弹跳鞋盒：弹跳距离</t>
        </is>
      </c>
    </row>
    <row r="83">
      <c r="A83" s="6" t="inlineStr">
        <is>
          <t>decapBossPct</t>
        </is>
      </c>
      <c r="B83" s="7" t="n">
        <v>0.15</v>
      </c>
      <c r="C83" s="8" t="inlineStr">
        <is>
          <t>神秘箱轰炸：扣 Boss 最大体力比例</t>
        </is>
      </c>
    </row>
    <row r="84">
      <c r="A84" s="6" t="inlineStr">
        <is>
          <t>decapMult</t>
        </is>
      </c>
      <c r="B84" s="7" t="n">
        <v>3</v>
      </c>
      <c r="C84" s="8" t="inlineStr">
        <is>
          <t>神秘箱轰炸：对非 Boss 倍率</t>
        </is>
      </c>
    </row>
    <row r="85">
      <c r="A85" s="6" t="inlineStr">
        <is>
          <t>teslaHop</t>
        </is>
      </c>
      <c r="B85" s="7" t="n">
        <v>70</v>
      </c>
      <c r="C85" s="8" t="inlineStr">
        <is>
          <t>广场舞音响：传播距离</t>
        </is>
      </c>
    </row>
    <row r="86">
      <c r="A86" s="6" t="inlineStr">
        <is>
          <t>blockTarget</t>
        </is>
      </c>
      <c r="B86" s="7" t="n">
        <v>16</v>
      </c>
      <c r="C86" s="8" t="inlineStr">
        <is>
          <t>挖矿：全网平均出块间隔（秒）</t>
        </is>
      </c>
    </row>
    <row r="87">
      <c r="A87" s="6" t="inlineStr">
        <is>
          <t>blockReward</t>
        </is>
      </c>
      <c r="B87" s="7" t="n">
        <v>5000</v>
      </c>
      <c r="C87" s="8" t="inlineStr">
        <is>
          <t>挖矿：每个区块奖励的聪</t>
        </is>
      </c>
    </row>
    <row r="88">
      <c r="A88" s="6" t="inlineStr">
        <is>
          <t>adjustEvery</t>
        </is>
      </c>
      <c r="B88" s="7" t="n">
        <v>3</v>
      </c>
      <c r="C88" s="8" t="inlineStr">
        <is>
          <t>挖矿：每多少个区块调整一次难度</t>
        </is>
      </c>
    </row>
    <row r="89">
      <c r="A89" s="6" t="inlineStr">
        <is>
          <t>netGrowth</t>
        </is>
      </c>
      <c r="B89" s="7" t="n">
        <v>0.15</v>
      </c>
      <c r="C89" s="8" t="inlineStr">
        <is>
          <t>挖矿：每次难度调整全网算力上涨比例</t>
        </is>
      </c>
    </row>
    <row r="90">
      <c r="A90" s="6" t="inlineStr">
        <is>
          <t>freeNet</t>
        </is>
      </c>
      <c r="B90" s="7" t="n">
        <v>3</v>
      </c>
      <c r="C90" s="8" t="inlineStr">
        <is>
          <t>挖矿：经典模式的全网初始算力</t>
        </is>
      </c>
    </row>
    <row r="91">
      <c r="A91" s="6" t="inlineStr">
        <is>
          <t>rerollSats</t>
        </is>
      </c>
      <c r="B91" s="7" t="n">
        <v>1500</v>
      </c>
      <c r="C91" s="8" t="inlineStr">
        <is>
          <t>区块奖励重抽一次花费的聪</t>
        </is>
      </c>
    </row>
    <row r="92">
      <c r="A92" s="6" t="inlineStr">
        <is>
          <t>padTrackGap</t>
        </is>
      </c>
      <c r="B92" s="7" t="n">
        <v>34</v>
      </c>
      <c r="C92" s="8" t="inlineStr">
        <is>
          <t>额外放置点：离跑道中心线的最小距离</t>
        </is>
      </c>
    </row>
    <row r="93">
      <c r="A93" s="6" t="inlineStr">
        <is>
          <t>padGap</t>
        </is>
      </c>
      <c r="B93" s="7" t="n">
        <v>32</v>
      </c>
      <c r="C93" s="8" t="inlineStr">
        <is>
          <t>额外放置点：离其他空位的最小距离</t>
        </is>
      </c>
    </row>
    <row r="94">
      <c r="A94" s="6" t="inlineStr">
        <is>
          <t>gridTrackGap</t>
        </is>
      </c>
      <c r="B94" s="7" t="n">
        <v>24</v>
      </c>
      <c r="C94" s="8" t="inlineStr">
        <is>
          <t>放置格子：格子中心离跑道中心线小于这个距离就算跑道，不能放装置</t>
        </is>
      </c>
    </row>
    <row r="95">
      <c r="A95" s="6" t="inlineStr">
        <is>
          <t>scoreKill</t>
        </is>
      </c>
      <c r="B95" s="7" t="n">
        <v>600</v>
      </c>
      <c r="C95" s="8" t="inlineStr">
        <is>
          <t>分数：劝退率权重</t>
        </is>
      </c>
    </row>
    <row r="96">
      <c r="A96" s="6" t="inlineStr">
        <is>
          <t>scoreLives</t>
        </is>
      </c>
      <c r="B96" s="7" t="n">
        <v>300</v>
      </c>
      <c r="C96" s="8" t="inlineStr">
        <is>
          <t>分数：剩余生命权重</t>
        </is>
      </c>
    </row>
    <row r="97">
      <c r="A97" s="6" t="inlineStr">
        <is>
          <t>scoreClean</t>
        </is>
      </c>
      <c r="B97" s="7" t="n">
        <v>100</v>
      </c>
      <c r="C97"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 width="12" customWidth="1" min="24" max="24"/>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c r="X1" s="4" t="inlineStr">
        <is>
          <t>占地（N × N 格，1 格 = 20）</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c r="X2" s="5" t="inlineStr">
        <is>
          <t>size</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c r="X3" s="7" t="n">
        <v>2</v>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c r="X4" s="7" t="n">
        <v>2</v>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持续喷水：范围内的跑者被淋湿、减速</t>
        </is>
      </c>
      <c r="I5" s="8" t="inlineStr">
        <is>
          <t>Keeps spraying: runners in range get wet and slowed</t>
        </is>
      </c>
      <c r="J5" s="8" t="inlineStr">
        <is>
          <t>Arrose en continu : les coureurs à portée sont mouillés et ralentis</t>
        </is>
      </c>
      <c r="K5" s="7" t="n">
        <v>120</v>
      </c>
      <c r="L5" s="7" t="n">
        <v>0.5</v>
      </c>
      <c r="M5" s="7" t="n">
        <v>1.1</v>
      </c>
      <c r="N5" s="7" t="n">
        <v>72</v>
      </c>
      <c r="O5" s="7" t="n">
        <v>0</v>
      </c>
      <c r="P5" s="7" t="n">
        <v>0.3</v>
      </c>
      <c r="Q5" s="7" t="n">
        <v>1.5</v>
      </c>
      <c r="R5" s="7" t="n">
        <v>0</v>
      </c>
      <c r="S5" s="7" t="n">
        <v>1</v>
      </c>
      <c r="T5" s="7" t="n">
        <v>0.5</v>
      </c>
      <c r="U5" s="7" t="n">
        <v>1</v>
      </c>
      <c r="V5" s="8" t="inlineStr">
        <is>
          <t>#6fc3ff</t>
        </is>
      </c>
      <c r="W5" s="7" t="inlineStr">
        <is>
          <t>frostNeed=4; freezeCap=99</t>
        </is>
      </c>
      <c r="X5" s="7" t="n">
        <v>2</v>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全图支援：点它再点地图，指定投递区；飞过去、投箱、返航都要时间</t>
        </is>
      </c>
      <c r="I6" s="8" t="inlineStr">
        <is>
          <t>Map-wide support: tap it, then tap the map to set a drop zone; flying out, dropping and returning take time</t>
        </is>
      </c>
      <c r="J6" s="8" t="inlineStr">
        <is>
          <t>Soutien sur toute la carte : touche-le puis la carte pour choisir une zone de largage ; aller, larguer et revenir prend du temps</t>
        </is>
      </c>
      <c r="K6" s="7" t="n">
        <v>180</v>
      </c>
      <c r="L6" s="7" t="n">
        <v>6</v>
      </c>
      <c r="M6" s="7" t="n">
        <v>2.4</v>
      </c>
      <c r="N6" s="7" t="n">
        <v>999</v>
      </c>
      <c r="O6" s="7" t="n">
        <v>16</v>
      </c>
      <c r="P6" s="7" t="n">
        <v>0</v>
      </c>
      <c r="Q6" s="7" t="n">
        <v>0</v>
      </c>
      <c r="R6" s="7" t="n">
        <v>0</v>
      </c>
      <c r="S6" s="7" t="n">
        <v>1</v>
      </c>
      <c r="T6" s="7" t="n">
        <v>1</v>
      </c>
      <c r="U6" s="7" t="n">
        <v>1</v>
      </c>
      <c r="V6" s="8" t="inlineStr">
        <is>
          <t>#ff9d7a</t>
        </is>
      </c>
      <c r="W6" s="7" t="inlineStr">
        <is>
          <t>aimR=46; load=1</t>
        </is>
      </c>
      <c r="X6" s="7" t="n">
        <v>2</v>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洗脑神曲人传人：每次传给好几个跑者，让他们发懵；同一个人每次只中一次</t>
        </is>
      </c>
      <c r="I7" s="8" t="inlineStr">
        <is>
          <t>An earworm passed from runner to runner: each song hits several and leaves them dizzy, once per runner per song</t>
        </is>
      </c>
      <c r="J7" s="8" t="inlineStr">
        <is>
          <t>Un ver d’oreille transmis de coureur en coureur : chaque morceau en touche plusieurs et les étourdit, une fois par coureur</t>
        </is>
      </c>
      <c r="K7" s="7" t="n">
        <v>150</v>
      </c>
      <c r="L7" s="7" t="n">
        <v>2</v>
      </c>
      <c r="M7" s="7" t="n">
        <v>0.9</v>
      </c>
      <c r="N7" s="7" t="n">
        <v>88</v>
      </c>
      <c r="O7" s="7" t="n">
        <v>0</v>
      </c>
      <c r="P7" s="7" t="n">
        <v>0</v>
      </c>
      <c r="Q7" s="7" t="n">
        <v>0</v>
      </c>
      <c r="R7" s="7" t="n">
        <v>3</v>
      </c>
      <c r="S7" s="7" t="n">
        <v>0.85</v>
      </c>
      <c r="T7" s="7" t="n">
        <v>0.5</v>
      </c>
      <c r="U7" s="7" t="n">
        <v>1</v>
      </c>
      <c r="V7" s="8" t="inlineStr">
        <is>
          <t>#ff8fd0</t>
        </is>
      </c>
      <c r="W7" s="7" t="inlineStr">
        <is>
          <t>hop=70; dizzyDur=1.6</t>
        </is>
      </c>
      <c r="X7" s="7" t="n">
        <v>2</v>
      </c>
    </row>
    <row r="8">
      <c r="A8" s="6" t="inlineStr">
        <is>
          <t>lure</t>
        </is>
      </c>
      <c r="B8" s="8" t="inlineStr">
        <is>
          <t>休闲诱惑站</t>
        </is>
      </c>
      <c r="C8" s="8" t="inlineStr">
        <is>
          <t>Chill Spot</t>
        </is>
      </c>
      <c r="D8" s="8" t="inlineStr">
        <is>
          <t>Coin détente</t>
        </is>
      </c>
      <c r="E8" s="8" t="inlineStr">
        <is>
          <t>诱惑站</t>
        </is>
      </c>
      <c r="F8" s="8" t="inlineStr">
        <is>
          <t>Chill</t>
        </is>
      </c>
      <c r="G8" s="8" t="inlineStr">
        <is>
          <t>Détente</t>
        </is>
      </c>
      <c r="H8" s="8" t="inlineStr">
        <is>
          <t>用美食、沙发和限量球鞋让跑者停下来；每人每站只上当一次，对耐力跑者、巨鲸和 Boss 无效</t>
        </is>
      </c>
      <c r="I8" s="8" t="inlineStr">
        <is>
          <t>Food, sofas and limited sneakers make runners stop; each runner falls for each spot once; no effect on endurance runners, whales or bosses</t>
        </is>
      </c>
      <c r="J8" s="8" t="inlineStr">
        <is>
          <t>Bouffe, canapés et baskets limitées arrêtent les coureurs ; chacun ne s’y fait prendre qu’une fois par coin ; sans effet sur endurants, baleines et boss</t>
        </is>
      </c>
      <c r="K8" s="7" t="n">
        <v>130</v>
      </c>
      <c r="L8" s="7" t="n">
        <v>0</v>
      </c>
      <c r="M8" s="7" t="n">
        <v>2</v>
      </c>
      <c r="N8" s="7" t="n">
        <v>75</v>
      </c>
      <c r="O8" s="7" t="n">
        <v>0</v>
      </c>
      <c r="P8" s="7" t="n">
        <v>0</v>
      </c>
      <c r="Q8" s="7" t="n">
        <v>0</v>
      </c>
      <c r="R8" s="7" t="n">
        <v>0</v>
      </c>
      <c r="S8" s="7" t="n">
        <v>1</v>
      </c>
      <c r="T8" s="7" t="n">
        <v>1</v>
      </c>
      <c r="U8" s="7" t="n">
        <v>1</v>
      </c>
      <c r="V8" s="8" t="inlineStr">
        <is>
          <t>#ff9a3c</t>
        </is>
      </c>
      <c r="W8" s="7" t="inlineStr">
        <is>
          <t>cap=3; stay=1.5</t>
        </is>
      </c>
      <c r="X8" s="7" t="n">
        <v>3</v>
      </c>
    </row>
    <row r="9">
      <c r="A9" s="6" t="inlineStr">
        <is>
          <t>miner</t>
        </is>
      </c>
      <c r="B9" s="8" t="inlineStr">
        <is>
          <t>矿机</t>
        </is>
      </c>
      <c r="C9" s="8" t="inlineStr">
        <is>
          <t>Miner</t>
        </is>
      </c>
      <c r="D9" s="8" t="inlineStr">
        <is>
          <t>Mineur</t>
        </is>
      </c>
      <c r="E9" s="8" t="inlineStr">
        <is>
          <t>矿机</t>
        </is>
      </c>
      <c r="F9" s="8" t="inlineStr">
        <is>
          <t>Miner</t>
        </is>
      </c>
      <c r="G9" s="8" t="inlineStr">
        <is>
          <t>Mineur</t>
        </is>
      </c>
      <c r="H9" s="8" t="inlineStr">
        <is>
          <t>不攻击，比赛中不停算题挖区块：挖到区块得聪和一次三选一</t>
        </is>
      </c>
      <c r="I9" s="8" t="inlineStr">
        <is>
          <t>Doesn’t attack; keeps hashing during the race. Win a block for sats and a pick-one-of-three</t>
        </is>
      </c>
      <c r="J9" s="8" t="inlineStr">
        <is>
          <t>N’attaque pas ; calcule pendant la course. Bloc gagné : des sats et un choix parmi trois</t>
        </is>
      </c>
      <c r="K9" s="7" t="n">
        <v>120</v>
      </c>
      <c r="L9" s="7" t="n">
        <v>0</v>
      </c>
      <c r="M9" s="7" t="n">
        <v>1</v>
      </c>
      <c r="N9" s="7" t="n">
        <v>70</v>
      </c>
      <c r="O9" s="7" t="n">
        <v>0</v>
      </c>
      <c r="P9" s="7" t="n">
        <v>0</v>
      </c>
      <c r="Q9" s="7" t="n">
        <v>0</v>
      </c>
      <c r="R9" s="7" t="n">
        <v>0</v>
      </c>
      <c r="S9" s="7" t="n">
        <v>1</v>
      </c>
      <c r="T9" s="7" t="n">
        <v>1</v>
      </c>
      <c r="U9" s="7" t="n">
        <v>1</v>
      </c>
      <c r="V9" s="8" t="inlineStr">
        <is>
          <t>#f7931a</t>
        </is>
      </c>
      <c r="W9" s="7" t="inlineStr"/>
      <c r="X9" s="7" t="n">
        <v>3</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sniper</t>
        </is>
      </c>
      <c r="B12" s="6" t="n">
        <v>1</v>
      </c>
      <c r="C12" s="8" t="inlineStr">
        <is>
          <t>精准重箱</t>
        </is>
      </c>
      <c r="D12" s="8" t="inlineStr">
        <is>
          <t>Precision Drop</t>
        </is>
      </c>
      <c r="E12" s="8" t="inlineStr">
        <is>
          <t>Largage précis</t>
        </is>
      </c>
    </row>
    <row r="13">
      <c r="A13" s="6" t="inlineStr">
        <is>
          <t>sniper</t>
        </is>
      </c>
      <c r="B13" s="6" t="n">
        <v>2</v>
      </c>
      <c r="C13" s="8" t="inlineStr">
        <is>
          <t>批量配送</t>
        </is>
      </c>
      <c r="D13" s="8" t="inlineStr">
        <is>
          <t>Bulk Delivery</t>
        </is>
      </c>
      <c r="E13" s="8" t="inlineStr">
        <is>
          <t>Livraison en gros</t>
        </is>
      </c>
    </row>
    <row r="14">
      <c r="A14" s="6" t="inlineStr">
        <is>
          <t>sniper</t>
        </is>
      </c>
      <c r="B14" s="6" t="n">
        <v>3</v>
      </c>
      <c r="C14" s="8" t="inlineStr">
        <is>
          <t>应急后勤</t>
        </is>
      </c>
      <c r="D14" s="8" t="inlineStr">
        <is>
          <t>Field Logistics</t>
        </is>
      </c>
      <c r="E14" s="8" t="inlineStr">
        <is>
          <t>Logistique</t>
        </is>
      </c>
    </row>
    <row r="15">
      <c r="A15" s="6" t="inlineStr">
        <is>
          <t>tesla</t>
        </is>
      </c>
      <c r="B15" s="6" t="n">
        <v>1</v>
      </c>
      <c r="C15" s="8" t="inlineStr">
        <is>
          <t>神曲接力</t>
        </is>
      </c>
      <c r="D15" s="8" t="inlineStr">
        <is>
          <t>Song Relay</t>
        </is>
      </c>
      <c r="E15" s="8" t="inlineStr">
        <is>
          <t>Relais musical</t>
        </is>
      </c>
    </row>
    <row r="16">
      <c r="A16" s="6" t="inlineStr">
        <is>
          <t>tesla</t>
        </is>
      </c>
      <c r="B16" s="6" t="n">
        <v>2</v>
      </c>
      <c r="C16" s="8" t="inlineStr">
        <is>
          <t>重低音共振</t>
        </is>
      </c>
      <c r="D16" s="8" t="inlineStr">
        <is>
          <t>Bass Resonance</t>
        </is>
      </c>
      <c r="E16" s="8" t="inlineStr">
        <is>
          <t>Résonance</t>
        </is>
      </c>
    </row>
    <row r="17">
      <c r="A17" s="6" t="inlineStr">
        <is>
          <t>tesla</t>
        </is>
      </c>
      <c r="B17" s="6" t="n">
        <v>3</v>
      </c>
      <c r="C17" s="8" t="inlineStr">
        <is>
          <t>耳虫续播</t>
        </is>
      </c>
      <c r="D17" s="8" t="inlineStr">
        <is>
          <t>Earworm</t>
        </is>
      </c>
      <c r="E17" s="8" t="inlineStr">
        <is>
          <t>Ver d’oreille</t>
        </is>
      </c>
    </row>
    <row r="18">
      <c r="A18" s="6" t="inlineStr">
        <is>
          <t>lure</t>
        </is>
      </c>
      <c r="B18" s="6" t="n">
        <v>1</v>
      </c>
      <c r="C18" s="8" t="inlineStr">
        <is>
          <t>美食飘香</t>
        </is>
      </c>
      <c r="D18" s="8" t="inlineStr">
        <is>
          <t>Food Stall</t>
        </is>
      </c>
      <c r="E18" s="8" t="inlineStr">
        <is>
          <t>Stand de bouffe</t>
        </is>
      </c>
    </row>
    <row r="19">
      <c r="A19" s="6" t="inlineStr">
        <is>
          <t>lure</t>
        </is>
      </c>
      <c r="B19" s="6" t="n">
        <v>2</v>
      </c>
      <c r="C19" s="8" t="inlineStr">
        <is>
          <t>舒适休息</t>
        </is>
      </c>
      <c r="D19" s="8" t="inlineStr">
        <is>
          <t>Sofa</t>
        </is>
      </c>
      <c r="E19" s="8" t="inlineStr">
        <is>
          <t>Canapé</t>
        </is>
      </c>
    </row>
    <row r="20">
      <c r="A20" s="6" t="inlineStr">
        <is>
          <t>lure</t>
        </is>
      </c>
      <c r="B20" s="6" t="n">
        <v>3</v>
      </c>
      <c r="C20" s="8" t="inlineStr">
        <is>
          <t>限量围观</t>
        </is>
      </c>
      <c r="D20" s="8" t="inlineStr">
        <is>
          <t>Hype Drop</t>
        </is>
      </c>
      <c r="E20" s="8" t="inlineStr">
        <is>
          <t>Édition limitée</t>
        </is>
      </c>
    </row>
    <row r="21">
      <c r="A21" s="6" t="inlineStr">
        <is>
          <t>miner</t>
        </is>
      </c>
      <c r="B21" s="6" t="n">
        <v>1</v>
      </c>
      <c r="C21" s="8" t="inlineStr">
        <is>
          <t>算力</t>
        </is>
      </c>
      <c r="D21" s="8" t="inlineStr">
        <is>
          <t>Hash</t>
        </is>
      </c>
      <c r="E21" s="8" t="inlineStr">
        <is>
          <t>Puissance</t>
        </is>
      </c>
    </row>
    <row r="22">
      <c r="A22" s="6" t="inlineStr">
        <is>
          <t>miner</t>
        </is>
      </c>
      <c r="B22" s="6" t="n">
        <v>2</v>
      </c>
      <c r="C22" s="8" t="inlineStr">
        <is>
          <t>矿池</t>
        </is>
      </c>
      <c r="D22" s="8" t="inlineStr">
        <is>
          <t>Pool</t>
        </is>
      </c>
      <c r="E22" s="8" t="inlineStr">
        <is>
          <t>Pool</t>
        </is>
      </c>
    </row>
    <row r="23">
      <c r="A23" s="6" t="inlineStr">
        <is>
          <t>miner</t>
        </is>
      </c>
      <c r="B23" s="6" t="n">
        <v>3</v>
      </c>
      <c r="C23" s="8" t="inlineStr">
        <is>
          <t>散热</t>
        </is>
      </c>
      <c r="D23" s="8" t="inlineStr">
        <is>
          <t>Cooling</t>
        </is>
      </c>
      <c r="E23"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2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SUMIFS($G$3:$G$125,$A$3:$A$125,A3,$B$3:$B$125,B3,$C$3:$C$125,"&lt;="&amp;C3)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SUMIFS($G$3:$G$125,$A$3:$A$125,A4,$B$3:$B$125,B4,$C$3:$C$125,"&lt;="&amp;C4)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SUMIFS($G$3:$G$125,$A$3:$A$125,A5,$B$3:$B$125,B5,$C$3:$C$125,"&lt;="&amp;C5)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SUMIFS($G$3:$G$125,$A$3:$A$125,A6,$B$3:$B$125,B6,$C$3:$C$125,"&lt;="&amp;C6)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SUMIFS($G$3:$G$125,$A$3:$A$125,A7,$B$3:$B$125,B7,$C$3:$C$125,"&lt;="&amp;C7)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SUMIFS($G$3:$G$125,$A$3:$A$125,A8,$B$3:$B$125,B8,$C$3:$C$125,"&lt;="&amp;C8)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SUMIFS($G$3:$G$125,$A$3:$A$125,A9,$B$3:$B$125,B9,$C$3:$C$125,"&lt;="&amp;C9)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SUMIFS($G$3:$G$125,$A$3:$A$125,A10,$B$3:$B$125,B10,$C$3:$C$125,"&lt;="&amp;C10)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SUMIFS($G$3:$G$125,$A$3:$A$125,A11,$B$3:$B$125,B11,$C$3:$C$125,"&lt;="&amp;C11)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SUMIFS($G$3:$G$125,$A$3:$A$125,A12,$B$3:$B$125,B12,$C$3:$C$125,"&lt;="&amp;C12)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SUMIFS($G$3:$G$125,$A$3:$A$125,A13,$B$3:$B$125,B13,$C$3:$C$125,"&lt;="&amp;C13)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SUMIFS($G$3:$G$125,$A$3:$A$125,A14,$B$3:$B$125,B14,$C$3:$C$125,"&lt;="&amp;C14)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SUMIFS($G$3:$G$125,$A$3:$A$125,A15,$B$3:$B$125,B15,$C$3:$C$125,"&lt;="&amp;C15)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SUMIFS($G$3:$G$125,$A$3:$A$125,A16,$B$3:$B$125,B16,$C$3:$C$125,"&lt;="&amp;C16)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SUMIFS($G$3:$G$125,$A$3:$A$125,A17,$B$3:$B$125,B17,$C$3:$C$125,"&lt;="&amp;C17)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SUMIFS($G$3:$G$125,$A$3:$A$125,A18,$B$3:$B$125,B18,$C$3:$C$125,"&lt;="&amp;C18)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SUMIFS($G$3:$G$125,$A$3:$A$125,A19,$B$3:$B$125,B19,$C$3:$C$125,"&lt;="&amp;C19)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SUMIFS($G$3:$G$125,$A$3:$A$125,A20,$B$3:$B$125,B20,$C$3:$C$125,"&lt;="&amp;C20)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SUMIFS($G$3:$G$125,$A$3:$A$125,A21,$B$3:$B$125,B21,$C$3:$C$125,"&lt;="&amp;C21)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SUMIFS($G$3:$G$125,$A$3:$A$125,A22,$B$3:$B$125,B22,$C$3:$C$125,"&lt;="&amp;C22)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SUMIFS($G$3:$G$125,$A$3:$A$125,A23,$B$3:$B$125,B23,$C$3:$C$125,"&lt;="&amp;C23)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SUMIFS($G$3:$G$125,$A$3:$A$125,A24,$B$3:$B$125,B24,$C$3:$C$125,"&lt;="&amp;C24)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SUMIFS($G$3:$G$125,$A$3:$A$125,A25,$B$3:$B$125,B25,$C$3:$C$125,"&lt;="&amp;C25)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SUMIFS($G$3:$G$125,$A$3:$A$125,A26,$B$3:$B$125,B26,$C$3:$C$125,"&lt;="&amp;C26)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SUMIFS($G$3:$G$125,$A$3:$A$125,A27,$B$3:$B$125,B27,$C$3:$C$125,"&lt;="&amp;C27)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SUMIFS($G$3:$G$125,$A$3:$A$125,A28,$B$3:$B$125,B28,$C$3:$C$125,"&lt;="&amp;C28)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SUMIFS($G$3:$G$125,$A$3:$A$125,A29,$B$3:$B$125,B29,$C$3:$C$125,"&lt;="&amp;C29)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SUMIFS($G$3:$G$125,$A$3:$A$125,A30,$B$3:$B$125,B30,$C$3:$C$125,"&lt;="&amp;C30)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SUMIFS($G$3:$G$125,$A$3:$A$125,A31,$B$3:$B$125,B31,$C$3:$C$125,"&lt;="&amp;C31)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SUMIFS($G$3:$G$125,$A$3:$A$125,A32,$B$3:$B$125,B32,$C$3:$C$125,"&lt;="&amp;C32)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SUMIFS($G$3:$G$125,$A$3:$A$125,A33,$B$3:$B$125,B33,$C$3:$C$125,"&lt;="&amp;C33)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SUMIFS($G$3:$G$125,$A$3:$A$125,A34,$B$3:$B$125,B34,$C$3:$C$125,"&lt;="&amp;C34)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SUMIFS($G$3:$G$125,$A$3:$A$125,A35,$B$3:$B$125,B35,$C$3:$C$125,"&lt;="&amp;C35)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SUMIFS($G$3:$G$125,$A$3:$A$125,A36,$B$3:$B$125,B36,$C$3:$C$125,"&lt;="&amp;C36)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SUMIFS($G$3:$G$125,$A$3:$A$125,A37,$B$3:$B$125,B37,$C$3:$C$125,"&lt;="&amp;C37)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SUMIFS($G$3:$G$125,$A$3:$A$125,A38,$B$3:$B$125,B38,$C$3:$C$125,"&lt;="&amp;C38)</f>
        <v/>
      </c>
    </row>
    <row r="39">
      <c r="A39" s="6" t="inlineStr">
        <is>
          <t>frost</t>
        </is>
      </c>
      <c r="B39" s="6" t="n">
        <v>1</v>
      </c>
      <c r="C39" s="6" t="n">
        <v>1</v>
      </c>
      <c r="D39" s="8" t="inlineStr">
        <is>
          <t>喷头加长</t>
        </is>
      </c>
      <c r="E39" s="8" t="inlineStr">
        <is>
          <t>Longer Reach</t>
        </is>
      </c>
      <c r="F39" s="8" t="inlineStr">
        <is>
          <t>Portée accrue</t>
        </is>
      </c>
      <c r="G39" s="7" t="n">
        <v>60</v>
      </c>
      <c r="H39" s="8" t="inlineStr">
        <is>
          <t>射程 +15</t>
        </is>
      </c>
      <c r="I39" s="8" t="inlineStr">
        <is>
          <t>Range +15</t>
        </is>
      </c>
      <c r="J39" s="8" t="inlineStr">
        <is>
          <t>Portée +15</t>
        </is>
      </c>
      <c r="K39" s="7" t="inlineStr">
        <is>
          <t>range+=15</t>
        </is>
      </c>
      <c r="L39" s="9">
        <f>SUMIFS($G$3:$G$125,$A$3:$A$125,A39,$B$3:$B$125,B39,$C$3:$C$125,"&lt;="&amp;C39)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SUMIFS($G$3:$G$125,$A$3:$A$125,A40,$B$3:$B$125,B40,$C$3:$C$125,"&lt;="&amp;C40)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SUMIFS($G$3:$G$125,$A$3:$A$125,A41,$B$3:$B$125,B41,$C$3:$C$125,"&lt;="&amp;C41)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SUMIFS($G$3:$G$125,$A$3:$A$125,A42,$B$3:$B$125,B42,$C$3:$C$125,"&lt;="&amp;C42)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SUMIFS($G$3:$G$125,$A$3:$A$125,A43,$B$3:$B$125,B43,$C$3:$C$125,"&lt;="&amp;C43)</f>
        <v/>
      </c>
    </row>
    <row r="44">
      <c r="A44" s="6" t="inlineStr">
        <is>
          <t>frost</t>
        </is>
      </c>
      <c r="B44" s="6" t="n">
        <v>1</v>
      </c>
      <c r="C44" s="6" t="n">
        <v>6</v>
      </c>
      <c r="D44" s="8" t="inlineStr">
        <is>
          <t>暴雨洒水车</t>
        </is>
      </c>
      <c r="E44" s="8" t="inlineStr">
        <is>
          <t>Rainstorm Truck</t>
        </is>
      </c>
      <c r="F44" s="8" t="inlineStr">
        <is>
          <t>Camion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SUMIFS($G$3:$G$125,$A$3:$A$125,A44,$B$3:$B$125,B44,$C$3:$C$125,"&lt;="&amp;C44)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SUMIFS($G$3:$G$125,$A$3:$A$125,A45,$B$3:$B$125,B45,$C$3:$C$125,"&lt;="&amp;C45)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SUMIFS($G$3:$G$125,$A$3:$A$125,A46,$B$3:$B$125,B46,$C$3:$C$125,"&lt;="&amp;C46)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SUMIFS($G$3:$G$125,$A$3:$A$125,A47,$B$3:$B$125,B47,$C$3:$C$125,"&lt;="&amp;C47)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SUMIFS($G$3:$G$125,$A$3:$A$125,A48,$B$3:$B$125,B48,$C$3:$C$125,"&lt;="&amp;C48)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SUMIFS($G$3:$G$125,$A$3:$A$125,A49,$B$3:$B$125,B49,$C$3:$C$125,"&lt;="&amp;C49)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SUMIFS($G$3:$G$125,$A$3:$A$125,A50,$B$3:$B$125,B50,$C$3:$C$125,"&lt;="&amp;C50)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SUMIFS($G$3:$G$125,$A$3:$A$125,A51,$B$3:$B$125,B51,$C$3:$C$125,"&lt;="&amp;C51)</f>
        <v/>
      </c>
    </row>
    <row r="52">
      <c r="A52" s="6" t="inlineStr">
        <is>
          <t>frost</t>
        </is>
      </c>
      <c r="B52" s="6" t="n">
        <v>3</v>
      </c>
      <c r="C52" s="6" t="n">
        <v>2</v>
      </c>
      <c r="D52" s="8" t="inlineStr">
        <is>
          <t>宽喷束</t>
        </is>
      </c>
      <c r="E52" s="8" t="inlineStr">
        <is>
          <t>Wide Jet</t>
        </is>
      </c>
      <c r="F52" s="8" t="inlineStr">
        <is>
          <t>Jet large</t>
        </is>
      </c>
      <c r="G52" s="7" t="n">
        <v>110</v>
      </c>
      <c r="H52" s="8" t="inlineStr">
        <is>
          <t>效果 +0.5</t>
        </is>
      </c>
      <c r="I52" s="8" t="inlineStr">
        <is>
          <t>Effect +0.5</t>
        </is>
      </c>
      <c r="J52" s="8" t="inlineStr">
        <is>
          <t>Effet +0,5</t>
        </is>
      </c>
      <c r="K52" s="7" t="inlineStr">
        <is>
          <t>dmg+=0.5</t>
        </is>
      </c>
      <c r="L52" s="9">
        <f>SUMIFS($G$3:$G$125,$A$3:$A$125,A52,$B$3:$B$125,B52,$C$3:$C$125,"&lt;="&amp;C52)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SUMIFS($G$3:$G$125,$A$3:$A$125,A53,$B$3:$B$125,B53,$C$3:$C$125,"&lt;="&amp;C53)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SUMIFS($G$3:$G$125,$A$3:$A$125,A54,$B$3:$B$125,B54,$C$3:$C$125,"&lt;="&amp;C54)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SUMIFS($G$3:$G$125,$A$3:$A$125,A55,$B$3:$B$125,B55,$C$3:$C$125,"&lt;="&amp;C55)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SUMIFS($G$3:$G$125,$A$3:$A$125,A56,$B$3:$B$125,B56,$C$3:$C$125,"&lt;="&amp;C56)</f>
        <v/>
      </c>
    </row>
    <row r="57">
      <c r="A57" s="6" t="inlineStr">
        <is>
          <t>sniper</t>
        </is>
      </c>
      <c r="B57" s="6" t="n">
        <v>1</v>
      </c>
      <c r="C57" s="6" t="n">
        <v>1</v>
      </c>
      <c r="D57" s="8" t="inlineStr">
        <is>
          <t>快速飞行</t>
        </is>
      </c>
      <c r="E57" s="8" t="inlineStr">
        <is>
          <t>Fast Flight</t>
        </is>
      </c>
      <c r="F57" s="8" t="inlineStr">
        <is>
          <t>Vol rapide</t>
        </is>
      </c>
      <c r="G57" s="7" t="n">
        <v>60</v>
      </c>
      <c r="H57" s="8" t="inlineStr">
        <is>
          <t>出动间隔 −15%</t>
        </is>
      </c>
      <c r="I57" s="8" t="inlineStr">
        <is>
          <t>Sortie interval −15%</t>
        </is>
      </c>
      <c r="J57" s="8" t="inlineStr">
        <is>
          <t>Intervalle −15 %</t>
        </is>
      </c>
      <c r="K57" s="7" t="inlineStr">
        <is>
          <t>rate*=0.85</t>
        </is>
      </c>
      <c r="L57" s="9">
        <f>SUMIFS($G$3:$G$125,$A$3:$A$125,A57,$B$3:$B$125,B57,$C$3:$C$125,"&lt;="&amp;C57)</f>
        <v/>
      </c>
    </row>
    <row r="58">
      <c r="A58" s="6" t="inlineStr">
        <is>
          <t>sniper</t>
        </is>
      </c>
      <c r="B58" s="6" t="n">
        <v>1</v>
      </c>
      <c r="C58" s="6" t="n">
        <v>2</v>
      </c>
      <c r="D58" s="8" t="inlineStr">
        <is>
          <t>落点修正</t>
        </is>
      </c>
      <c r="E58" s="8" t="inlineStr">
        <is>
          <t>Course Correction</t>
        </is>
      </c>
      <c r="F58" s="8" t="inlineStr">
        <is>
          <t>Correction de cap</t>
        </is>
      </c>
      <c r="G58" s="7" t="n">
        <v>100</v>
      </c>
      <c r="H58" s="8" t="inlineStr">
        <is>
          <t>鞋盒追着目标落，不会砸空</t>
        </is>
      </c>
      <c r="I58" s="8" t="inlineStr">
        <is>
          <t>Boxes home in on the target and never miss</t>
        </is>
      </c>
      <c r="J58" s="8" t="inlineStr">
        <is>
          <t>Les boîtes suivent la cible et ne ratent jamais</t>
        </is>
      </c>
      <c r="K58" s="7" t="inlineStr">
        <is>
          <t>homing=1</t>
        </is>
      </c>
      <c r="L58" s="9">
        <f>SUMIFS($G$3:$G$125,$A$3:$A$125,A58,$B$3:$B$125,B58,$C$3:$C$125,"&lt;="&amp;C58)</f>
        <v/>
      </c>
    </row>
    <row r="59">
      <c r="A59" s="6" t="inlineStr">
        <is>
          <t>sniper</t>
        </is>
      </c>
      <c r="B59" s="6" t="n">
        <v>1</v>
      </c>
      <c r="C59" s="6" t="n">
        <v>3</v>
      </c>
      <c r="D59" s="8" t="inlineStr">
        <is>
          <t>重型鞋盒</t>
        </is>
      </c>
      <c r="E59" s="8" t="inlineStr">
        <is>
          <t>Heavy Box</t>
        </is>
      </c>
      <c r="F59" s="8" t="inlineStr">
        <is>
          <t>Boîte lourde</t>
        </is>
      </c>
      <c r="G59" s="7" t="n">
        <v>260</v>
      </c>
      <c r="H59" s="8" t="inlineStr">
        <is>
          <t>效果 +8</t>
        </is>
      </c>
      <c r="I59" s="8" t="inlineStr">
        <is>
          <t>Effect +8</t>
        </is>
      </c>
      <c r="J59" s="8" t="inlineStr">
        <is>
          <t>Effet +8</t>
        </is>
      </c>
      <c r="K59" s="7" t="inlineStr">
        <is>
          <t>dmg+=8</t>
        </is>
      </c>
      <c r="L59" s="9">
        <f>SUMIFS($G$3:$G$125,$A$3:$A$125,A59,$B$3:$B$125,B59,$C$3:$C$125,"&lt;="&amp;C59)</f>
        <v/>
      </c>
    </row>
    <row r="60">
      <c r="A60" s="6" t="inlineStr">
        <is>
          <t>sniper</t>
        </is>
      </c>
      <c r="B60" s="6" t="n">
        <v>1</v>
      </c>
      <c r="C60" s="6" t="n">
        <v>4</v>
      </c>
      <c r="D60" s="8" t="inlineStr">
        <is>
          <t>动态追踪</t>
        </is>
      </c>
      <c r="E60" s="8" t="inlineStr">
        <is>
          <t>Live Tracking</t>
        </is>
      </c>
      <c r="F60" s="8" t="inlineStr">
        <is>
          <t>Suivi en direct</t>
        </is>
      </c>
      <c r="G60" s="7" t="n">
        <v>700</v>
      </c>
      <c r="H60" s="8" t="inlineStr">
        <is>
          <t>效果 +6，投递区 +20</t>
        </is>
      </c>
      <c r="I60" s="8" t="inlineStr">
        <is>
          <t>Effect +6, drop zone +20</t>
        </is>
      </c>
      <c r="J60" s="8" t="inlineStr">
        <is>
          <t>Effet +6, zone +20</t>
        </is>
      </c>
      <c r="K60" s="7" t="inlineStr">
        <is>
          <t>dmg+=6; aimR+=20</t>
        </is>
      </c>
      <c r="L60" s="9">
        <f>SUMIFS($G$3:$G$125,$A$3:$A$125,A60,$B$3:$B$125,B60,$C$3:$C$125,"&lt;="&amp;C60)</f>
        <v/>
      </c>
    </row>
    <row r="61">
      <c r="A61" s="6" t="inlineStr">
        <is>
          <t>sniper</t>
        </is>
      </c>
      <c r="B61" s="6" t="n">
        <v>1</v>
      </c>
      <c r="C61" s="6" t="n">
        <v>5</v>
      </c>
      <c r="D61" s="8" t="inlineStr">
        <is>
          <t>连续投箱</t>
        </is>
      </c>
      <c r="E61" s="8" t="inlineStr">
        <is>
          <t>Double Drop</t>
        </is>
      </c>
      <c r="F61" s="8" t="inlineStr">
        <is>
          <t>Double largage</t>
        </is>
      </c>
      <c r="G61" s="7" t="n">
        <v>1500</v>
      </c>
      <c r="H61" s="8" t="inlineStr">
        <is>
          <t>每次连投 2 箱</t>
        </is>
      </c>
      <c r="I61" s="8" t="inlineStr">
        <is>
          <t>Drops 2 boxes per sortie</t>
        </is>
      </c>
      <c r="J61" s="8" t="inlineStr">
        <is>
          <t>2 boîtes par sortie</t>
        </is>
      </c>
      <c r="K61" s="7" t="inlineStr">
        <is>
          <t>load=2</t>
        </is>
      </c>
      <c r="L61" s="9">
        <f>SUMIFS($G$3:$G$125,$A$3:$A$125,A61,$B$3:$B$125,B61,$C$3:$C$125,"&lt;="&amp;C61)</f>
        <v/>
      </c>
    </row>
    <row r="62">
      <c r="A62" s="6" t="inlineStr">
        <is>
          <t>sniper</t>
        </is>
      </c>
      <c r="B62" s="6" t="n">
        <v>1</v>
      </c>
      <c r="C62" s="6" t="n">
        <v>6</v>
      </c>
      <c r="D62" s="8" t="inlineStr">
        <is>
          <t>旗舰重箱机</t>
        </is>
      </c>
      <c r="E62" s="8" t="inlineStr">
        <is>
          <t>Flagship Drone</t>
        </is>
      </c>
      <c r="F62" s="8" t="inlineStr">
        <is>
          <t>Drone amiral</t>
        </is>
      </c>
      <c r="G62" s="7" t="n">
        <v>3800</v>
      </c>
      <c r="H62" s="8" t="inlineStr">
        <is>
          <t>效果 ×8，砸地范围 +10，出动间隔 ×1.5</t>
        </is>
      </c>
      <c r="I62" s="8" t="inlineStr">
        <is>
          <t>Effect ×8, impact area +10, interval ×1.5</t>
        </is>
      </c>
      <c r="J62" s="8" t="inlineStr">
        <is>
          <t>Effet ×8, zone d’impact +10, intervalle ×1,5</t>
        </is>
      </c>
      <c r="K62" s="7" t="inlineStr">
        <is>
          <t>dmg*=8; rad+=10; rate*=1.5</t>
        </is>
      </c>
      <c r="L62" s="9">
        <f>SUMIFS($G$3:$G$125,$A$3:$A$125,A62,$B$3:$B$125,B62,$C$3:$C$125,"&lt;="&amp;C62)</f>
        <v/>
      </c>
    </row>
    <row r="63">
      <c r="A63" s="6" t="inlineStr">
        <is>
          <t>sniper</t>
        </is>
      </c>
      <c r="B63" s="6" t="n">
        <v>2</v>
      </c>
      <c r="C63" s="6" t="n">
        <v>1</v>
      </c>
      <c r="D63" s="8" t="inlineStr">
        <is>
          <t>多装一箱</t>
        </is>
      </c>
      <c r="E63" s="8" t="inlineStr">
        <is>
          <t>Extra Load</t>
        </is>
      </c>
      <c r="F63" s="8" t="inlineStr">
        <is>
          <t>Chargement +</t>
        </is>
      </c>
      <c r="G63" s="7" t="n">
        <v>90</v>
      </c>
      <c r="H63" s="8" t="inlineStr">
        <is>
          <t>每次多投 1 箱</t>
        </is>
      </c>
      <c r="I63" s="8" t="inlineStr">
        <is>
          <t>One more box per sortie</t>
        </is>
      </c>
      <c r="J63" s="8" t="inlineStr">
        <is>
          <t>Une boîte de plus par sortie</t>
        </is>
      </c>
      <c r="K63" s="7" t="inlineStr">
        <is>
          <t>load+=1</t>
        </is>
      </c>
      <c r="L63" s="9">
        <f>SUMIFS($G$3:$G$125,$A$3:$A$125,A63,$B$3:$B$125,B63,$C$3:$C$125,"&lt;="&amp;C63)</f>
        <v/>
      </c>
    </row>
    <row r="64">
      <c r="A64" s="6" t="inlineStr">
        <is>
          <t>sniper</t>
        </is>
      </c>
      <c r="B64" s="6" t="n">
        <v>2</v>
      </c>
      <c r="C64" s="6" t="n">
        <v>2</v>
      </c>
      <c r="D64" s="8" t="inlineStr">
        <is>
          <t>散布投递</t>
        </is>
      </c>
      <c r="E64" s="8" t="inlineStr">
        <is>
          <t>Scatter</t>
        </is>
      </c>
      <c r="F64" s="8" t="inlineStr">
        <is>
          <t>Dispersion</t>
        </is>
      </c>
      <c r="G64" s="7" t="n">
        <v>150</v>
      </c>
      <c r="H64" s="8" t="inlineStr">
        <is>
          <t>投递区 +25</t>
        </is>
      </c>
      <c r="I64" s="8" t="inlineStr">
        <is>
          <t>Drop zone +25</t>
        </is>
      </c>
      <c r="J64" s="8" t="inlineStr">
        <is>
          <t>Zone +25</t>
        </is>
      </c>
      <c r="K64" s="7" t="inlineStr">
        <is>
          <t>aimR+=25</t>
        </is>
      </c>
      <c r="L64" s="9">
        <f>SUMIFS($G$3:$G$125,$A$3:$A$125,A64,$B$3:$B$125,B64,$C$3:$C$125,"&lt;="&amp;C64)</f>
        <v/>
      </c>
    </row>
    <row r="65">
      <c r="A65" s="6" t="inlineStr">
        <is>
          <t>sniper</t>
        </is>
      </c>
      <c r="B65" s="6" t="n">
        <v>2</v>
      </c>
      <c r="C65" s="6" t="n">
        <v>3</v>
      </c>
      <c r="D65" s="8" t="inlineStr">
        <is>
          <t>沿路投箱</t>
        </is>
      </c>
      <c r="E65" s="8" t="inlineStr">
        <is>
          <t>Route Drop</t>
        </is>
      </c>
      <c r="F65" s="8" t="inlineStr">
        <is>
          <t>Largage sur route</t>
        </is>
      </c>
      <c r="G65" s="7" t="n">
        <v>260</v>
      </c>
      <c r="H65" s="8" t="inlineStr">
        <is>
          <t>鞋盒沿选定路段排开，再多 1 箱</t>
        </is>
      </c>
      <c r="I65" s="8" t="inlineStr">
        <is>
          <t>Boxes line up along the chosen stretch, plus 1 box</t>
        </is>
      </c>
      <c r="J65" s="8" t="inlineStr">
        <is>
          <t>Les boîtes s’alignent sur le tronçon choisi, +1 boîte</t>
        </is>
      </c>
      <c r="K65" s="7" t="inlineStr">
        <is>
          <t>segment=1; load+=1</t>
        </is>
      </c>
      <c r="L65" s="9">
        <f>SUMIFS($G$3:$G$125,$A$3:$A$125,A65,$B$3:$B$125,B65,$C$3:$C$125,"&lt;="&amp;C65)</f>
        <v/>
      </c>
    </row>
    <row r="66">
      <c r="A66" s="6" t="inlineStr">
        <is>
          <t>sniper</t>
        </is>
      </c>
      <c r="B66" s="6" t="n">
        <v>2</v>
      </c>
      <c r="C66" s="6" t="n">
        <v>4</v>
      </c>
      <c r="D66" s="8" t="inlineStr">
        <is>
          <t>多点投递</t>
        </is>
      </c>
      <c r="E66" s="8" t="inlineStr">
        <is>
          <t>Multi-Drop</t>
        </is>
      </c>
      <c r="F66" s="8" t="inlineStr">
        <is>
          <t>Multi-largage</t>
        </is>
      </c>
      <c r="G66" s="7" t="n">
        <v>550</v>
      </c>
      <c r="H66" s="8" t="inlineStr">
        <is>
          <t>每次再多投 2 箱</t>
        </is>
      </c>
      <c r="I66" s="8" t="inlineStr">
        <is>
          <t>2 more boxes per sortie</t>
        </is>
      </c>
      <c r="J66" s="8" t="inlineStr">
        <is>
          <t>2 boîtes de plus par sortie</t>
        </is>
      </c>
      <c r="K66" s="7" t="inlineStr">
        <is>
          <t>load+=2</t>
        </is>
      </c>
      <c r="L66" s="9">
        <f>SUMIFS($G$3:$G$125,$A$3:$A$125,A66,$B$3:$B$125,B66,$C$3:$C$125,"&lt;="&amp;C66)</f>
        <v/>
      </c>
    </row>
    <row r="67">
      <c r="A67" s="6" t="inlineStr">
        <is>
          <t>sniper</t>
        </is>
      </c>
      <c r="B67" s="6" t="n">
        <v>2</v>
      </c>
      <c r="C67" s="6" t="n">
        <v>5</v>
      </c>
      <c r="D67" s="8" t="inlineStr">
        <is>
          <t>编队配送</t>
        </is>
      </c>
      <c r="E67" s="8" t="inlineStr">
        <is>
          <t>Drone Squadron</t>
        </is>
      </c>
      <c r="F67" s="8" t="inlineStr">
        <is>
          <t>Escadrille</t>
        </is>
      </c>
      <c r="G67" s="7" t="n">
        <v>1500</v>
      </c>
      <c r="H67" s="8" t="inlineStr">
        <is>
          <t>再多投 3 箱</t>
        </is>
      </c>
      <c r="I67" s="8" t="inlineStr">
        <is>
          <t>3 more boxes</t>
        </is>
      </c>
      <c r="J67" s="8" t="inlineStr">
        <is>
          <t>3 boîtes de plus</t>
        </is>
      </c>
      <c r="K67" s="7" t="inlineStr">
        <is>
          <t>load+=3</t>
        </is>
      </c>
      <c r="L67" s="9">
        <f>SUMIFS($G$3:$G$125,$A$3:$A$125,A67,$B$3:$B$125,B67,$C$3:$C$125,"&lt;="&amp;C67)</f>
        <v/>
      </c>
    </row>
    <row r="68">
      <c r="A68" s="6" t="inlineStr">
        <is>
          <t>sniper</t>
        </is>
      </c>
      <c r="B68" s="6" t="n">
        <v>2</v>
      </c>
      <c r="C68" s="6" t="n">
        <v>6</v>
      </c>
      <c r="D68" s="8" t="inlineStr">
        <is>
          <t>鞋盒空投编队</t>
        </is>
      </c>
      <c r="E68" s="8" t="inlineStr">
        <is>
          <t>Airdrop Armada</t>
        </is>
      </c>
      <c r="F68" s="8" t="inlineStr">
        <is>
          <t>Armada de largage</t>
        </is>
      </c>
      <c r="G68" s="7" t="n">
        <v>3600</v>
      </c>
      <c r="H68" s="8" t="inlineStr">
        <is>
          <t>一次投 16 箱覆盖整段路，效果 +8，之后整备 3 秒</t>
        </is>
      </c>
      <c r="I68" s="8" t="inlineStr">
        <is>
          <t>16 boxes cover the whole stretch, effect +8, then 3 s to rearm</t>
        </is>
      </c>
      <c r="J68" s="8" t="inlineStr">
        <is>
          <t>16 boîtes couvrent tout le tronçon, effet +8, puis 3 s de réarmement</t>
        </is>
      </c>
      <c r="K68" s="7" t="inlineStr">
        <is>
          <t>load=16; rate=3; dmg+=8</t>
        </is>
      </c>
      <c r="L68" s="9">
        <f>SUMIFS($G$3:$G$125,$A$3:$A$125,A68,$B$3:$B$125,B68,$C$3:$C$125,"&lt;="&amp;C68)</f>
        <v/>
      </c>
    </row>
    <row r="69">
      <c r="A69" s="6" t="inlineStr">
        <is>
          <t>sniper</t>
        </is>
      </c>
      <c r="B69" s="6" t="n">
        <v>3</v>
      </c>
      <c r="C69" s="6" t="n">
        <v>1</v>
      </c>
      <c r="D69" s="8" t="inlineStr">
        <is>
          <t>快速返航</t>
        </is>
      </c>
      <c r="E69" s="8" t="inlineStr">
        <is>
          <t>Quick Return</t>
        </is>
      </c>
      <c r="F69" s="8" t="inlineStr">
        <is>
          <t>Retour rapide</t>
        </is>
      </c>
      <c r="G69" s="7" t="n">
        <v>70</v>
      </c>
      <c r="H69" s="8" t="inlineStr">
        <is>
          <t>出动间隔 −15%</t>
        </is>
      </c>
      <c r="I69" s="8" t="inlineStr">
        <is>
          <t>Sortie interval −15%</t>
        </is>
      </c>
      <c r="J69" s="8" t="inlineStr">
        <is>
          <t>Intervalle −15 %</t>
        </is>
      </c>
      <c r="K69" s="7" t="inlineStr">
        <is>
          <t>rate*=0.85</t>
        </is>
      </c>
      <c r="L69" s="9">
        <f>SUMIFS($G$3:$G$125,$A$3:$A$125,A69,$B$3:$B$125,B69,$C$3:$C$125,"&lt;="&amp;C69)</f>
        <v/>
      </c>
    </row>
    <row r="70">
      <c r="A70" s="6" t="inlineStr">
        <is>
          <t>sniper</t>
        </is>
      </c>
      <c r="B70" s="6" t="n">
        <v>3</v>
      </c>
      <c r="C70" s="6" t="n">
        <v>2</v>
      </c>
      <c r="D70" s="8" t="inlineStr">
        <is>
          <t>缩短整备</t>
        </is>
      </c>
      <c r="E70" s="8" t="inlineStr">
        <is>
          <t>Fast Rearm</t>
        </is>
      </c>
      <c r="F70" s="8" t="inlineStr">
        <is>
          <t>Réarmement rapide</t>
        </is>
      </c>
      <c r="G70" s="7" t="n">
        <v>120</v>
      </c>
      <c r="H70" s="8" t="inlineStr">
        <is>
          <t>出动间隔再 −15%</t>
        </is>
      </c>
      <c r="I70" s="8" t="inlineStr">
        <is>
          <t>Interval −15% more</t>
        </is>
      </c>
      <c r="J70" s="8" t="inlineStr">
        <is>
          <t>Intervalle encore −15 %</t>
        </is>
      </c>
      <c r="K70" s="7" t="inlineStr">
        <is>
          <t>rate*=0.85</t>
        </is>
      </c>
      <c r="L70" s="9">
        <f>SUMIFS($G$3:$G$125,$A$3:$A$125,A70,$B$3:$B$125,B70,$C$3:$C$125,"&lt;="&amp;C70)</f>
        <v/>
      </c>
    </row>
    <row r="71">
      <c r="A71" s="6" t="inlineStr">
        <is>
          <t>sniper</t>
        </is>
      </c>
      <c r="B71" s="6" t="n">
        <v>3</v>
      </c>
      <c r="C71" s="6" t="n">
        <v>3</v>
      </c>
      <c r="D71" s="8" t="inlineStr">
        <is>
          <t>补给箱</t>
        </is>
      </c>
      <c r="E71" s="8" t="inlineStr">
        <is>
          <t>Supply Crate</t>
        </is>
      </c>
      <c r="F71" s="8" t="inlineStr">
        <is>
          <t>Caisse de ravitaillement</t>
        </is>
      </c>
      <c r="G71" s="7" t="n">
        <v>300</v>
      </c>
      <c r="H71" s="8" t="inlineStr">
        <is>
          <t>每次出动给投递区旁 1 座地面装置补给：4 秒内出手间隔 −25%</t>
        </is>
      </c>
      <c r="I71" s="8" t="inlineStr">
        <is>
          <t>Each sortie supplies 1 ground device near the drop zone: −25% interval for 4 s</t>
        </is>
      </c>
      <c r="J71" s="8" t="inlineStr">
        <is>
          <t>Chaque sortie ravitaille 1 dispositif au sol près de la zone : intervalle −25 % pendant 4 s</t>
        </is>
      </c>
      <c r="K71" s="7" t="inlineStr">
        <is>
          <t>supply=4; supplyN=1</t>
        </is>
      </c>
      <c r="L71" s="9">
        <f>SUMIFS($G$3:$G$125,$A$3:$A$125,A71,$B$3:$B$125,B71,$C$3:$C$125,"&lt;="&amp;C71)</f>
        <v/>
      </c>
    </row>
    <row r="72">
      <c r="A72" s="6" t="inlineStr">
        <is>
          <t>sniper</t>
        </is>
      </c>
      <c r="B72" s="6" t="n">
        <v>3</v>
      </c>
      <c r="C72" s="6" t="n">
        <v>4</v>
      </c>
      <c r="D72" s="8" t="inlineStr">
        <is>
          <t>长效补给</t>
        </is>
      </c>
      <c r="E72" s="8" t="inlineStr">
        <is>
          <t>Long Supply</t>
        </is>
      </c>
      <c r="F72" s="8" t="inlineStr">
        <is>
          <t>Ravitaillement durable</t>
        </is>
      </c>
      <c r="G72" s="7" t="n">
        <v>600</v>
      </c>
      <c r="H72" s="8" t="inlineStr">
        <is>
          <t>补给持续 7 秒</t>
        </is>
      </c>
      <c r="I72" s="8" t="inlineStr">
        <is>
          <t>Supply lasts 7 s</t>
        </is>
      </c>
      <c r="J72" s="8" t="inlineStr">
        <is>
          <t>Ravitaillement de 7 s</t>
        </is>
      </c>
      <c r="K72" s="7" t="inlineStr">
        <is>
          <t>supply=7</t>
        </is>
      </c>
      <c r="L72" s="9">
        <f>SUMIFS($G$3:$G$125,$A$3:$A$125,A72,$B$3:$B$125,B72,$C$3:$C$125,"&lt;="&amp;C72)</f>
        <v/>
      </c>
    </row>
    <row r="73">
      <c r="A73" s="6" t="inlineStr">
        <is>
          <t>sniper</t>
        </is>
      </c>
      <c r="B73" s="6" t="n">
        <v>3</v>
      </c>
      <c r="C73" s="6" t="n">
        <v>5</v>
      </c>
      <c r="D73" s="8" t="inlineStr">
        <is>
          <t>多点补给</t>
        </is>
      </c>
      <c r="E73" s="8" t="inlineStr">
        <is>
          <t>Wide Supply</t>
        </is>
      </c>
      <c r="F73" s="8" t="inlineStr">
        <is>
          <t>Ravitaillement multiple</t>
        </is>
      </c>
      <c r="G73" s="7" t="n">
        <v>1300</v>
      </c>
      <c r="H73" s="8" t="inlineStr">
        <is>
          <t>一次补给 3 座装置</t>
        </is>
      </c>
      <c r="I73" s="8" t="inlineStr">
        <is>
          <t>Supplies 3 devices at once</t>
        </is>
      </c>
      <c r="J73" s="8" t="inlineStr">
        <is>
          <t>Ravitaille 3 dispositifs à la fois</t>
        </is>
      </c>
      <c r="K73" s="7" t="inlineStr">
        <is>
          <t>supplyN=3</t>
        </is>
      </c>
      <c r="L73" s="9">
        <f>SUMIFS($G$3:$G$125,$A$3:$A$125,A73,$B$3:$B$125,B73,$C$3:$C$125,"&lt;="&amp;C73)</f>
        <v/>
      </c>
    </row>
    <row r="74">
      <c r="A74" s="6" t="inlineStr">
        <is>
          <t>sniper</t>
        </is>
      </c>
      <c r="B74" s="6" t="n">
        <v>3</v>
      </c>
      <c r="C74" s="6" t="n">
        <v>6</v>
      </c>
      <c r="D74" s="8" t="inlineStr">
        <is>
          <t>紧急后勤总部</t>
        </is>
      </c>
      <c r="E74" s="8" t="inlineStr">
        <is>
          <t>Logistics HQ</t>
        </is>
      </c>
      <c r="F74" s="8" t="inlineStr">
        <is>
          <t>QG logistique</t>
        </is>
      </c>
      <c r="G74" s="7" t="n">
        <v>3200</v>
      </c>
      <c r="H74" s="8" t="inlineStr">
        <is>
          <t>不再投箱：每 8 秒让投递区 160 内的地面装置 7 秒内出手间隔 −50%、效果 +50%</t>
        </is>
      </c>
      <c r="I74" s="8" t="inlineStr">
        <is>
          <t>No more boxes: every 8 s, ground devices within 160 of the drop zone get −50% interval and +50% effect for 7 s</t>
        </is>
      </c>
      <c r="J74" s="8" t="inlineStr">
        <is>
          <t>Plus de boîtes : toutes les 8 s, les dispositifs au sol à 160 de la zone ont −50 % d’intervalle et +50 % d’effet pendant 7 s</t>
        </is>
      </c>
      <c r="K74" s="7" t="inlineStr">
        <is>
          <t>hq=1; rate=8</t>
        </is>
      </c>
      <c r="L74" s="9">
        <f>SUMIFS($G$3:$G$125,$A$3:$A$125,A74,$B$3:$B$125,B74,$C$3:$C$125,"&lt;="&amp;C74)</f>
        <v/>
      </c>
    </row>
    <row r="75">
      <c r="A75" s="6" t="inlineStr">
        <is>
          <t>tesla</t>
        </is>
      </c>
      <c r="B75" s="6" t="n">
        <v>1</v>
      </c>
      <c r="C75" s="6" t="n">
        <v>1</v>
      </c>
      <c r="D75" s="8" t="inlineStr">
        <is>
          <t>大嗓门</t>
        </is>
      </c>
      <c r="E75" s="8" t="inlineStr">
        <is>
          <t>Loud Voice</t>
        </is>
      </c>
      <c r="F75" s="8" t="inlineStr">
        <is>
          <t>Grosse voix</t>
        </is>
      </c>
      <c r="G75" s="7" t="n">
        <v>45</v>
      </c>
      <c r="H75" s="8" t="inlineStr">
        <is>
          <t>传播距离 +20</t>
        </is>
      </c>
      <c r="I75" s="8" t="inlineStr">
        <is>
          <t>Hop distance +20</t>
        </is>
      </c>
      <c r="J75" s="8" t="inlineStr">
        <is>
          <t>Distance de saut +20</t>
        </is>
      </c>
      <c r="K75" s="7" t="inlineStr">
        <is>
          <t>hop+=20</t>
        </is>
      </c>
      <c r="L75" s="9">
        <f>SUMIFS($G$3:$G$125,$A$3:$A$125,A75,$B$3:$B$125,B75,$C$3:$C$125,"&lt;="&amp;C75)</f>
        <v/>
      </c>
    </row>
    <row r="76">
      <c r="A76" s="6" t="inlineStr">
        <is>
          <t>tesla</t>
        </is>
      </c>
      <c r="B76" s="6" t="n">
        <v>1</v>
      </c>
      <c r="C76" s="6" t="n">
        <v>2</v>
      </c>
      <c r="D76" s="8" t="inlineStr">
        <is>
          <t>多传两人</t>
        </is>
      </c>
      <c r="E76" s="8" t="inlineStr">
        <is>
          <t>Two More</t>
        </is>
      </c>
      <c r="F76" s="8" t="inlineStr">
        <is>
          <t>Deux de plus</t>
        </is>
      </c>
      <c r="G76" s="7" t="n">
        <v>80</v>
      </c>
      <c r="H76" s="8" t="inlineStr">
        <is>
          <t>多传 2 人</t>
        </is>
      </c>
      <c r="I76" s="8" t="inlineStr">
        <is>
          <t>Spreads to 2 more</t>
        </is>
      </c>
      <c r="J76" s="8" t="inlineStr">
        <is>
          <t>Se propage à 2 de plus</t>
        </is>
      </c>
      <c r="K76" s="7" t="inlineStr">
        <is>
          <t>chain+=2</t>
        </is>
      </c>
      <c r="L76" s="9">
        <f>SUMIFS($G$3:$G$125,$A$3:$A$125,A76,$B$3:$B$125,B76,$C$3:$C$125,"&lt;="&amp;C76)</f>
        <v/>
      </c>
    </row>
    <row r="77">
      <c r="A77" s="6" t="inlineStr">
        <is>
          <t>tesla</t>
        </is>
      </c>
      <c r="B77" s="6" t="n">
        <v>1</v>
      </c>
      <c r="C77" s="6" t="n">
        <v>3</v>
      </c>
      <c r="D77" s="8" t="inlineStr">
        <is>
          <t>跑者接唱</t>
        </is>
      </c>
      <c r="E77" s="8" t="inlineStr">
        <is>
          <t>Sing-Along</t>
        </is>
      </c>
      <c r="F77" s="8" t="inlineStr">
        <is>
          <t>Chant repris</t>
        </is>
      </c>
      <c r="G77" s="7" t="n">
        <v>300</v>
      </c>
      <c r="H77" s="8" t="inlineStr">
        <is>
          <t>多传 3 人，传播几乎不衰减</t>
        </is>
      </c>
      <c r="I77" s="8" t="inlineStr">
        <is>
          <t>3 more, almost no fade</t>
        </is>
      </c>
      <c r="J77" s="8" t="inlineStr">
        <is>
          <t>3 de plus, presque sans perte</t>
        </is>
      </c>
      <c r="K77" s="7" t="inlineStr">
        <is>
          <t>chain+=3; decay=0.95</t>
        </is>
      </c>
      <c r="L77" s="9">
        <f>SUMIFS($G$3:$G$125,$A$3:$A$125,A77,$B$3:$B$125,B77,$C$3:$C$125,"&lt;="&amp;C77)</f>
        <v/>
      </c>
    </row>
    <row r="78">
      <c r="A78" s="6" t="inlineStr">
        <is>
          <t>tesla</t>
        </is>
      </c>
      <c r="B78" s="6" t="n">
        <v>1</v>
      </c>
      <c r="C78" s="6" t="n">
        <v>4</v>
      </c>
      <c r="D78" s="8" t="inlineStr">
        <is>
          <t>小队串联</t>
        </is>
      </c>
      <c r="E78" s="8" t="inlineStr">
        <is>
          <t>Squad Link</t>
        </is>
      </c>
      <c r="F78" s="8" t="inlineStr">
        <is>
          <t>Liaison d’équipe</t>
        </is>
      </c>
      <c r="G78" s="7" t="n">
        <v>500</v>
      </c>
      <c r="H78" s="8" t="inlineStr">
        <is>
          <t>传播距离再 +30，能连上相邻小队</t>
        </is>
      </c>
      <c r="I78" s="8" t="inlineStr">
        <is>
          <t>Hop +30, links nearby squads</t>
        </is>
      </c>
      <c r="J78" s="8" t="inlineStr">
        <is>
          <t>Saut +30, relie les équipes voisines</t>
        </is>
      </c>
      <c r="K78" s="7" t="inlineStr">
        <is>
          <t>hop+=30</t>
        </is>
      </c>
      <c r="L78" s="9">
        <f>SUMIFS($G$3:$G$125,$A$3:$A$125,A78,$B$3:$B$125,B78,$C$3:$C$125,"&lt;="&amp;C78)</f>
        <v/>
      </c>
    </row>
    <row r="79">
      <c r="A79" s="6" t="inlineStr">
        <is>
          <t>tesla</t>
        </is>
      </c>
      <c r="B79" s="6" t="n">
        <v>1</v>
      </c>
      <c r="C79" s="6" t="n">
        <v>5</v>
      </c>
      <c r="D79" s="8" t="inlineStr">
        <is>
          <t>长链神曲</t>
        </is>
      </c>
      <c r="E79" s="8" t="inlineStr">
        <is>
          <t>Long Chain</t>
        </is>
      </c>
      <c r="F79" s="8" t="inlineStr">
        <is>
          <t>Longue chaîne</t>
        </is>
      </c>
      <c r="G79" s="7" t="n">
        <v>1400</v>
      </c>
      <c r="H79" s="8" t="inlineStr">
        <is>
          <t>再多传 6 人</t>
        </is>
      </c>
      <c r="I79" s="8" t="inlineStr">
        <is>
          <t>6 more</t>
        </is>
      </c>
      <c r="J79" s="8" t="inlineStr">
        <is>
          <t>6 de plus</t>
        </is>
      </c>
      <c r="K79" s="7" t="inlineStr">
        <is>
          <t>chain+=6</t>
        </is>
      </c>
      <c r="L79" s="9">
        <f>SUMIFS($G$3:$G$125,$A$3:$A$125,A79,$B$3:$B$125,B79,$C$3:$C$125,"&lt;="&amp;C79)</f>
        <v/>
      </c>
    </row>
    <row r="80">
      <c r="A80" s="6" t="inlineStr">
        <is>
          <t>tesla</t>
        </is>
      </c>
      <c r="B80" s="6" t="n">
        <v>1</v>
      </c>
      <c r="C80" s="6" t="n">
        <v>6</v>
      </c>
      <c r="D80" s="8" t="inlineStr">
        <is>
          <t>巡回神曲</t>
        </is>
      </c>
      <c r="E80" s="8" t="inlineStr">
        <is>
          <t>Touring Hit</t>
        </is>
      </c>
      <c r="F80" s="8" t="inlineStr">
        <is>
          <t>Tube en tournée</t>
        </is>
      </c>
      <c r="G80" s="7" t="n">
        <v>3400</v>
      </c>
      <c r="H80" s="8" t="inlineStr">
        <is>
          <t>一轮最多传 30 人，不衰减，效果 ×2.5；队形分散就传不开</t>
        </is>
      </c>
      <c r="I80" s="8" t="inlineStr">
        <is>
          <t>Up to 30 runners per song, no fade, effect ×2.5; spread-out runners break the chain</t>
        </is>
      </c>
      <c r="J80" s="8" t="inlineStr">
        <is>
          <t>Jusqu’à 30 coureurs par morceau, sans perte, effet ×2,5 ; une file dispersée coupe la chaîne</t>
        </is>
      </c>
      <c r="K80" s="7" t="inlineStr">
        <is>
          <t>chain=30; decay=1; hop+=20; dmg*=2.5</t>
        </is>
      </c>
      <c r="L80" s="9">
        <f>SUMIFS($G$3:$G$125,$A$3:$A$125,A80,$B$3:$B$125,B80,$C$3:$C$125,"&lt;="&amp;C80)</f>
        <v/>
      </c>
    </row>
    <row r="81">
      <c r="A81" s="6" t="inlineStr">
        <is>
          <t>tesla</t>
        </is>
      </c>
      <c r="B81" s="6" t="n">
        <v>2</v>
      </c>
      <c r="C81" s="6" t="n">
        <v>1</v>
      </c>
      <c r="D81" s="8" t="inlineStr">
        <is>
          <t>低音炮</t>
        </is>
      </c>
      <c r="E81" s="8" t="inlineStr">
        <is>
          <t>Subwoofer</t>
        </is>
      </c>
      <c r="F81" s="8" t="inlineStr">
        <is>
          <t>Caisson</t>
        </is>
      </c>
      <c r="G81" s="7" t="n">
        <v>70</v>
      </c>
      <c r="H81" s="8" t="inlineStr">
        <is>
          <t>效果 +1</t>
        </is>
      </c>
      <c r="I81" s="8" t="inlineStr">
        <is>
          <t>Effect +1</t>
        </is>
      </c>
      <c r="J81" s="8" t="inlineStr">
        <is>
          <t>Effet +1</t>
        </is>
      </c>
      <c r="K81" s="7" t="inlineStr">
        <is>
          <t>dmg+=1</t>
        </is>
      </c>
      <c r="L81" s="9">
        <f>SUMIFS($G$3:$G$125,$A$3:$A$125,A81,$B$3:$B$125,B81,$C$3:$C$125,"&lt;="&amp;C81)</f>
        <v/>
      </c>
    </row>
    <row r="82">
      <c r="A82" s="6" t="inlineStr">
        <is>
          <t>tesla</t>
        </is>
      </c>
      <c r="B82" s="6" t="n">
        <v>2</v>
      </c>
      <c r="C82" s="6" t="n">
        <v>2</v>
      </c>
      <c r="D82" s="8" t="inlineStr">
        <is>
          <t>共振</t>
        </is>
      </c>
      <c r="E82" s="8" t="inlineStr">
        <is>
          <t>Resonance</t>
        </is>
      </c>
      <c r="F82" s="8" t="inlineStr">
        <is>
          <t>Résonance</t>
        </is>
      </c>
      <c r="G82" s="7" t="n">
        <v>130</v>
      </c>
      <c r="H82" s="8" t="inlineStr">
        <is>
          <t>被唱到的人身边 26 内的跑者受 30% 效果</t>
        </is>
      </c>
      <c r="I82" s="8" t="inlineStr">
        <is>
          <t>Runners within 26 of each target take 30%</t>
        </is>
      </c>
      <c r="J82" s="8" t="inlineStr">
        <is>
          <t>Les coureurs à 26 de chaque cible subissent 30 %</t>
        </is>
      </c>
      <c r="K82" s="7" t="inlineStr">
        <is>
          <t>reso=0.3; resoR=26</t>
        </is>
      </c>
      <c r="L82" s="9">
        <f>SUMIFS($G$3:$G$125,$A$3:$A$125,A82,$B$3:$B$125,B82,$C$3:$C$125,"&lt;="&amp;C82)</f>
        <v/>
      </c>
    </row>
    <row r="83">
      <c r="A83" s="6" t="inlineStr">
        <is>
          <t>tesla</t>
        </is>
      </c>
      <c r="B83" s="6" t="n">
        <v>2</v>
      </c>
      <c r="C83" s="6" t="n">
        <v>3</v>
      </c>
      <c r="D83" s="8" t="inlineStr">
        <is>
          <t>音符积累</t>
        </is>
      </c>
      <c r="E83" s="8" t="inlineStr">
        <is>
          <t>Note Stacks</t>
        </is>
      </c>
      <c r="F83" s="8" t="inlineStr">
        <is>
          <t>Notes cumulées</t>
        </is>
      </c>
      <c r="G83" s="7" t="n">
        <v>240</v>
      </c>
      <c r="H83" s="8" t="inlineStr">
        <is>
          <t>每次命中给跑者加 1 个音符（最多 5 个）</t>
        </is>
      </c>
      <c r="I83" s="8" t="inlineStr">
        <is>
          <t>Each hit adds a note to the runner (max 5)</t>
        </is>
      </c>
      <c r="J83" s="8" t="inlineStr">
        <is>
          <t>Chaque coup ajoute une note au coureur (max 5)</t>
        </is>
      </c>
      <c r="K83" s="7" t="inlineStr">
        <is>
          <t>notes=5</t>
        </is>
      </c>
      <c r="L83" s="9">
        <f>SUMIFS($G$3:$G$125,$A$3:$A$125,A83,$B$3:$B$125,B83,$C$3:$C$125,"&lt;="&amp;C83)</f>
        <v/>
      </c>
    </row>
    <row r="84">
      <c r="A84" s="6" t="inlineStr">
        <is>
          <t>tesla</t>
        </is>
      </c>
      <c r="B84" s="6" t="n">
        <v>2</v>
      </c>
      <c r="C84" s="6" t="n">
        <v>4</v>
      </c>
      <c r="D84" s="8" t="inlineStr">
        <is>
          <t>共振扩散</t>
        </is>
      </c>
      <c r="E84" s="8" t="inlineStr">
        <is>
          <t>Wide Resonance</t>
        </is>
      </c>
      <c r="F84" s="8" t="inlineStr">
        <is>
          <t>Résonance large</t>
        </is>
      </c>
      <c r="G84" s="7" t="n">
        <v>520</v>
      </c>
      <c r="H84" s="8" t="inlineStr">
        <is>
          <t>共振范围 +16，共振效果 50%</t>
        </is>
      </c>
      <c r="I84" s="8" t="inlineStr">
        <is>
          <t>Resonance radius +16, 50% effect</t>
        </is>
      </c>
      <c r="J84" s="8" t="inlineStr">
        <is>
          <t>Rayon +16, effet 50 %</t>
        </is>
      </c>
      <c r="K84" s="7" t="inlineStr">
        <is>
          <t>resoR+=16; reso=0.5</t>
        </is>
      </c>
      <c r="L84" s="9">
        <f>SUMIFS($G$3:$G$125,$A$3:$A$125,A84,$B$3:$B$125,B84,$C$3:$C$125,"&lt;="&amp;C84)</f>
        <v/>
      </c>
    </row>
    <row r="85">
      <c r="A85" s="6" t="inlineStr">
        <is>
          <t>tesla</t>
        </is>
      </c>
      <c r="B85" s="6" t="n">
        <v>2</v>
      </c>
      <c r="C85" s="6" t="n">
        <v>5</v>
      </c>
      <c r="D85" s="8" t="inlineStr">
        <is>
          <t>同步爆发</t>
        </is>
      </c>
      <c r="E85" s="8" t="inlineStr">
        <is>
          <t>Drop the Beat</t>
        </is>
      </c>
      <c r="F85" s="8" t="inlineStr">
        <is>
          <t>Lâcher le beat</t>
        </is>
      </c>
      <c r="G85" s="7" t="n">
        <v>1500</v>
      </c>
      <c r="H85" s="8" t="inlineStr">
        <is>
          <t>每第 4 首：引爆范围内所有音符，每个音符 ×2 效果</t>
        </is>
      </c>
      <c r="I85" s="8" t="inlineStr">
        <is>
          <t>Every 4th song detonates all notes in range, ×2 effect per note</t>
        </is>
      </c>
      <c r="J85" s="8" t="inlineStr">
        <is>
          <t>Tous les 4 morceaux, fait exploser les notes à portée, ×2 par note</t>
        </is>
      </c>
      <c r="K85" s="7" t="inlineStr">
        <is>
          <t>burst=2</t>
        </is>
      </c>
      <c r="L85" s="9">
        <f>SUMIFS($G$3:$G$125,$A$3:$A$125,A85,$B$3:$B$125,B85,$C$3:$C$125,"&lt;="&amp;C85)</f>
        <v/>
      </c>
    </row>
    <row r="86">
      <c r="A86" s="6" t="inlineStr">
        <is>
          <t>tesla</t>
        </is>
      </c>
      <c r="B86" s="6" t="n">
        <v>2</v>
      </c>
      <c r="C86" s="6" t="n">
        <v>6</v>
      </c>
      <c r="D86" s="8" t="inlineStr">
        <is>
          <t>超级低音炮</t>
        </is>
      </c>
      <c r="E86" s="8" t="inlineStr">
        <is>
          <t>Mega Bass</t>
        </is>
      </c>
      <c r="F86" s="8" t="inlineStr">
        <is>
          <t>Méga basse</t>
        </is>
      </c>
      <c r="G86" s="7" t="n">
        <v>3600</v>
      </c>
      <c r="H86" s="8" t="inlineStr">
        <is>
          <t>引爆效果 ×5，音符上限 8 个；引爆后音符清空要重新传</t>
        </is>
      </c>
      <c r="I86" s="8" t="inlineStr">
        <is>
          <t>Detonation ×5, up to 8 notes; notes reset afterwards</t>
        </is>
      </c>
      <c r="J86" s="8" t="inlineStr">
        <is>
          <t>Explosion ×5, jusqu’à 8 notes ; les notes repartent de zéro</t>
        </is>
      </c>
      <c r="K86" s="7" t="inlineStr">
        <is>
          <t>burst*=5; notes=8; dmg+=1</t>
        </is>
      </c>
      <c r="L86" s="9">
        <f>SUMIFS($G$3:$G$125,$A$3:$A$125,A86,$B$3:$B$125,B86,$C$3:$C$125,"&lt;="&amp;C86)</f>
        <v/>
      </c>
    </row>
    <row r="87">
      <c r="A87" s="6" t="inlineStr">
        <is>
          <t>tesla</t>
        </is>
      </c>
      <c r="B87" s="6" t="n">
        <v>3</v>
      </c>
      <c r="C87" s="6" t="n">
        <v>1</v>
      </c>
      <c r="D87" s="8" t="inlineStr">
        <is>
          <t>余音</t>
        </is>
      </c>
      <c r="E87" s="8" t="inlineStr">
        <is>
          <t>Afterglow</t>
        </is>
      </c>
      <c r="F87" s="8" t="inlineStr">
        <is>
          <t>Écho</t>
        </is>
      </c>
      <c r="G87" s="7" t="n">
        <v>50</v>
      </c>
      <c r="H87" s="8" t="inlineStr">
        <is>
          <t>发懵 +1 秒</t>
        </is>
      </c>
      <c r="I87" s="8" t="inlineStr">
        <is>
          <t>Dizzy +1 s</t>
        </is>
      </c>
      <c r="J87" s="8" t="inlineStr">
        <is>
          <t>Étourdi +1 s</t>
        </is>
      </c>
      <c r="K87" s="7" t="inlineStr">
        <is>
          <t>dizzyDur+=1</t>
        </is>
      </c>
      <c r="L87" s="9">
        <f>SUMIFS($G$3:$G$125,$A$3:$A$125,A87,$B$3:$B$125,B87,$C$3:$C$125,"&lt;="&amp;C87)</f>
        <v/>
      </c>
    </row>
    <row r="88">
      <c r="A88" s="6" t="inlineStr">
        <is>
          <t>tesla</t>
        </is>
      </c>
      <c r="B88" s="6" t="n">
        <v>3</v>
      </c>
      <c r="C88" s="6" t="n">
        <v>2</v>
      </c>
      <c r="D88" s="8" t="inlineStr">
        <is>
          <t>耳虫</t>
        </is>
      </c>
      <c r="E88" s="8" t="inlineStr">
        <is>
          <t>Earworm</t>
        </is>
      </c>
      <c r="F88" s="8" t="inlineStr">
        <is>
          <t>Ver d’oreille</t>
        </is>
      </c>
      <c r="G88" s="7" t="n">
        <v>110</v>
      </c>
      <c r="H88" s="8" t="inlineStr">
        <is>
          <t>发懵期间每秒受 0.6 点效果</t>
        </is>
      </c>
      <c r="I88" s="8" t="inlineStr">
        <is>
          <t>While dizzy, takes 0.6 per second</t>
        </is>
      </c>
      <c r="J88" s="8" t="inlineStr">
        <is>
          <t>Étourdi : 0,6 par seconde</t>
        </is>
      </c>
      <c r="K88" s="7" t="inlineStr">
        <is>
          <t>worm=0.6</t>
        </is>
      </c>
      <c r="L88" s="9">
        <f>SUMIFS($G$3:$G$125,$A$3:$A$125,A88,$B$3:$B$125,B88,$C$3:$C$125,"&lt;="&amp;C88)</f>
        <v/>
      </c>
    </row>
    <row r="89">
      <c r="A89" s="6" t="inlineStr">
        <is>
          <t>tesla</t>
        </is>
      </c>
      <c r="B89" s="6" t="n">
        <v>3</v>
      </c>
      <c r="C89" s="6" t="n">
        <v>3</v>
      </c>
      <c r="D89" s="8" t="inlineStr">
        <is>
          <t>离场余音</t>
        </is>
      </c>
      <c r="E89" s="8" t="inlineStr">
        <is>
          <t>Can’t Unhear</t>
        </is>
      </c>
      <c r="F89" s="8" t="inlineStr">
        <is>
          <t>Impossible à oublier</t>
        </is>
      </c>
      <c r="G89" s="7" t="n">
        <v>300</v>
      </c>
      <c r="H89" s="8" t="inlineStr">
        <is>
          <t>耳虫持续 4 秒，离开范围也甩不掉</t>
        </is>
      </c>
      <c r="I89" s="8" t="inlineStr">
        <is>
          <t>Earworm lasts 4 s, even out of range</t>
        </is>
      </c>
      <c r="J89" s="8" t="inlineStr">
        <is>
          <t>Le ver dure 4 s, même hors de portée</t>
        </is>
      </c>
      <c r="K89" s="7" t="inlineStr">
        <is>
          <t>wormDur=4</t>
        </is>
      </c>
      <c r="L89" s="9">
        <f>SUMIFS($G$3:$G$125,$A$3:$A$125,A89,$B$3:$B$125,B89,$C$3:$C$125,"&lt;="&amp;C89)</f>
        <v/>
      </c>
    </row>
    <row r="90">
      <c r="A90" s="6" t="inlineStr">
        <is>
          <t>tesla</t>
        </is>
      </c>
      <c r="B90" s="6" t="n">
        <v>3</v>
      </c>
      <c r="C90" s="6" t="n">
        <v>4</v>
      </c>
      <c r="D90" s="8" t="inlineStr">
        <is>
          <t>强化余音</t>
        </is>
      </c>
      <c r="E90" s="8" t="inlineStr">
        <is>
          <t>Louder Worm</t>
        </is>
      </c>
      <c r="F90" s="8" t="inlineStr">
        <is>
          <t>Ver plus fort</t>
        </is>
      </c>
      <c r="G90" s="7" t="n">
        <v>600</v>
      </c>
      <c r="H90" s="8" t="inlineStr">
        <is>
          <t>耳虫效果 ×2</t>
        </is>
      </c>
      <c r="I90" s="8" t="inlineStr">
        <is>
          <t>Earworm ×2</t>
        </is>
      </c>
      <c r="J90" s="8" t="inlineStr">
        <is>
          <t>Ver ×2</t>
        </is>
      </c>
      <c r="K90" s="7" t="inlineStr">
        <is>
          <t>worm*=2</t>
        </is>
      </c>
      <c r="L90" s="9">
        <f>SUMIFS($G$3:$G$125,$A$3:$A$125,A90,$B$3:$B$125,B90,$C$3:$C$125,"&lt;="&amp;C90)</f>
        <v/>
      </c>
    </row>
    <row r="91">
      <c r="A91" s="6" t="inlineStr">
        <is>
          <t>tesla</t>
        </is>
      </c>
      <c r="B91" s="6" t="n">
        <v>3</v>
      </c>
      <c r="C91" s="6" t="n">
        <v>5</v>
      </c>
      <c r="D91" s="8" t="inlineStr">
        <is>
          <t>专属耳虫</t>
        </is>
      </c>
      <c r="E91" s="8" t="inlineStr">
        <is>
          <t>Personal Worm</t>
        </is>
      </c>
      <c r="F91" s="8" t="inlineStr">
        <is>
          <t>Ver personnel</t>
        </is>
      </c>
      <c r="G91" s="7" t="n">
        <v>1300</v>
      </c>
      <c r="H91" s="8" t="inlineStr">
        <is>
          <t>最多同时盯 6 人，每秒再 +2</t>
        </is>
      </c>
      <c r="I91" s="8" t="inlineStr">
        <is>
          <t>Up to 6 runners at once, +2 per second</t>
        </is>
      </c>
      <c r="J91" s="8" t="inlineStr">
        <is>
          <t>Jusqu’à 6 coureurs, +2 par seconde</t>
        </is>
      </c>
      <c r="K91" s="7" t="inlineStr">
        <is>
          <t>wormCap=6; worm+=2</t>
        </is>
      </c>
      <c r="L91" s="9">
        <f>SUMIFS($G$3:$G$125,$A$3:$A$125,A91,$B$3:$B$125,B91,$C$3:$C$125,"&lt;="&amp;C91)</f>
        <v/>
      </c>
    </row>
    <row r="92">
      <c r="A92" s="6" t="inlineStr">
        <is>
          <t>tesla</t>
        </is>
      </c>
      <c r="B92" s="6" t="n">
        <v>3</v>
      </c>
      <c r="C92" s="6" t="n">
        <v>6</v>
      </c>
      <c r="D92" s="8" t="inlineStr">
        <is>
          <t>终极耳虫</t>
        </is>
      </c>
      <c r="E92" s="8" t="inlineStr">
        <is>
          <t>Ultimate Earworm</t>
        </is>
      </c>
      <c r="F92" s="8" t="inlineStr">
        <is>
          <t>Ver ultime</t>
        </is>
      </c>
      <c r="G92" s="7" t="n">
        <v>3200</v>
      </c>
      <c r="H92" s="8" t="inlineStr">
        <is>
          <t>最多 3 人，每秒效果 ×4，持续 8 秒，不能续时</t>
        </is>
      </c>
      <c r="I92" s="8" t="inlineStr">
        <is>
          <t>Up to 3 runners, ×4 per second, 8 s, can’t be refreshed</t>
        </is>
      </c>
      <c r="J92" s="8" t="inlineStr">
        <is>
          <t>Jusqu’à 3 coureurs, ×4 par seconde, 8 s, non renouvelable</t>
        </is>
      </c>
      <c r="K92" s="7" t="inlineStr">
        <is>
          <t>wormCap=3; worm*=4; wormDur=8; wormLock=1</t>
        </is>
      </c>
      <c r="L92" s="9">
        <f>SUMIFS($G$3:$G$125,$A$3:$A$125,A92,$B$3:$B$125,B92,$C$3:$C$125,"&lt;="&amp;C92)</f>
        <v/>
      </c>
    </row>
    <row r="93">
      <c r="A93" s="6" t="inlineStr">
        <is>
          <t>lure</t>
        </is>
      </c>
      <c r="B93" s="6" t="n">
        <v>1</v>
      </c>
      <c r="C93" s="6" t="n">
        <v>1</v>
      </c>
      <c r="D93" s="8" t="inlineStr">
        <is>
          <t>飘香</t>
        </is>
      </c>
      <c r="E93" s="8" t="inlineStr">
        <is>
          <t>Good Smell</t>
        </is>
      </c>
      <c r="F93" s="8" t="inlineStr">
        <is>
          <t>Bonne odeur</t>
        </is>
      </c>
      <c r="G93" s="7" t="n">
        <v>50</v>
      </c>
      <c r="H93" s="8" t="inlineStr">
        <is>
          <t>吸引范围 +15</t>
        </is>
      </c>
      <c r="I93" s="8" t="inlineStr">
        <is>
          <t>Lure range +15</t>
        </is>
      </c>
      <c r="J93" s="8" t="inlineStr">
        <is>
          <t>Portée +15</t>
        </is>
      </c>
      <c r="K93" s="7" t="inlineStr">
        <is>
          <t>range+=15</t>
        </is>
      </c>
      <c r="L93" s="9">
        <f>SUMIFS($G$3:$G$125,$A$3:$A$125,A93,$B$3:$B$125,B93,$C$3:$C$125,"&lt;="&amp;C93)</f>
        <v/>
      </c>
    </row>
    <row r="94">
      <c r="A94" s="6" t="inlineStr">
        <is>
          <t>lure</t>
        </is>
      </c>
      <c r="B94" s="6" t="n">
        <v>1</v>
      </c>
      <c r="C94" s="6" t="n">
        <v>2</v>
      </c>
      <c r="D94" s="8" t="inlineStr">
        <is>
          <t>加座</t>
        </is>
      </c>
      <c r="E94" s="8" t="inlineStr">
        <is>
          <t>More Seats</t>
        </is>
      </c>
      <c r="F94" s="8" t="inlineStr">
        <is>
          <t>Plus de places</t>
        </is>
      </c>
      <c r="G94" s="7" t="n">
        <v>90</v>
      </c>
      <c r="H94" s="8" t="inlineStr">
        <is>
          <t>一次多招呼 2 人</t>
        </is>
      </c>
      <c r="I94" s="8" t="inlineStr">
        <is>
          <t>Invites 2 more at a time</t>
        </is>
      </c>
      <c r="J94" s="8" t="inlineStr">
        <is>
          <t>Invite 2 de plus à la fois</t>
        </is>
      </c>
      <c r="K94" s="7" t="inlineStr">
        <is>
          <t>cap+=2</t>
        </is>
      </c>
      <c r="L94" s="9">
        <f>SUMIFS($G$3:$G$125,$A$3:$A$125,A94,$B$3:$B$125,B94,$C$3:$C$125,"&lt;="&amp;C94)</f>
        <v/>
      </c>
    </row>
    <row r="95">
      <c r="A95" s="6" t="inlineStr">
        <is>
          <t>lure</t>
        </is>
      </c>
      <c r="B95" s="6" t="n">
        <v>1</v>
      </c>
      <c r="C95" s="6" t="n">
        <v>3</v>
      </c>
      <c r="D95" s="8" t="inlineStr">
        <is>
          <t>烧烤摊</t>
        </is>
      </c>
      <c r="E95" s="8" t="inlineStr">
        <is>
          <t>BBQ Stall</t>
        </is>
      </c>
      <c r="F95" s="8" t="inlineStr">
        <is>
          <t>Barbecue</t>
        </is>
      </c>
      <c r="G95" s="7" t="n">
        <v>260</v>
      </c>
      <c r="H95" s="8" t="inlineStr">
        <is>
          <t>停留 1.5 秒，吃完辣到冒汗（挂上“辣”）</t>
        </is>
      </c>
      <c r="I95" s="8" t="inlineStr">
        <is>
          <t>Stops 1.5 s; diners leave spicy</t>
        </is>
      </c>
      <c r="J95" s="8" t="inlineStr">
        <is>
          <t>Arrêt 1,5 s ; les clients repartent pimentés</t>
        </is>
      </c>
      <c r="K95" s="7" t="inlineStr">
        <is>
          <t>stay=1.5; spicy=0.6</t>
        </is>
      </c>
      <c r="L95" s="9">
        <f>SUMIFS($G$3:$G$125,$A$3:$A$125,A95,$B$3:$B$125,B95,$C$3:$C$125,"&lt;="&amp;C95)</f>
        <v/>
      </c>
    </row>
    <row r="96">
      <c r="A96" s="6" t="inlineStr">
        <is>
          <t>lure</t>
        </is>
      </c>
      <c r="B96" s="6" t="n">
        <v>1</v>
      </c>
      <c r="C96" s="6" t="n">
        <v>4</v>
      </c>
      <c r="D96" s="8" t="inlineStr">
        <is>
          <t>大排档</t>
        </is>
      </c>
      <c r="E96" s="8" t="inlineStr">
        <is>
          <t>Food Court</t>
        </is>
      </c>
      <c r="F96" s="8" t="inlineStr">
        <is>
          <t>Aire de restauration</t>
        </is>
      </c>
      <c r="G96" s="7" t="n">
        <v>600</v>
      </c>
      <c r="H96" s="8" t="inlineStr">
        <is>
          <t>一次再多招呼 3 人</t>
        </is>
      </c>
      <c r="I96" s="8" t="inlineStr">
        <is>
          <t>3 more per invite</t>
        </is>
      </c>
      <c r="J96" s="8" t="inlineStr">
        <is>
          <t>3 de plus par invitation</t>
        </is>
      </c>
      <c r="K96" s="7" t="inlineStr">
        <is>
          <t>cap+=3</t>
        </is>
      </c>
      <c r="L96" s="9">
        <f>SUMIFS($G$3:$G$125,$A$3:$A$125,A96,$B$3:$B$125,B96,$C$3:$C$125,"&lt;="&amp;C96)</f>
        <v/>
      </c>
    </row>
    <row r="97">
      <c r="A97" s="6" t="inlineStr">
        <is>
          <t>lure</t>
        </is>
      </c>
      <c r="B97" s="6" t="n">
        <v>1</v>
      </c>
      <c r="C97" s="6" t="n">
        <v>5</v>
      </c>
      <c r="D97" s="8" t="inlineStr">
        <is>
          <t>爆款奶茶</t>
        </is>
      </c>
      <c r="E97" s="8" t="inlineStr">
        <is>
          <t>Viral Bubble Tea</t>
        </is>
      </c>
      <c r="F97" s="8" t="inlineStr">
        <is>
          <t>Bubble tea viral</t>
        </is>
      </c>
      <c r="G97" s="7" t="n">
        <v>1300</v>
      </c>
      <c r="H97" s="8" t="inlineStr">
        <is>
          <t>停留 2.5 秒，辣度 ×2</t>
        </is>
      </c>
      <c r="I97" s="8" t="inlineStr">
        <is>
          <t>Stops 2.5 s, spice ×2</t>
        </is>
      </c>
      <c r="J97" s="8" t="inlineStr">
        <is>
          <t>Arrêt 2,5 s, piment ×2</t>
        </is>
      </c>
      <c r="K97" s="7" t="inlineStr">
        <is>
          <t>stay=2.5; spicy*=2</t>
        </is>
      </c>
      <c r="L97" s="9">
        <f>SUMIFS($G$3:$G$125,$A$3:$A$125,A97,$B$3:$B$125,B97,$C$3:$C$125,"&lt;="&amp;C97)</f>
        <v/>
      </c>
    </row>
    <row r="98">
      <c r="A98" s="6" t="inlineStr">
        <is>
          <t>lure</t>
        </is>
      </c>
      <c r="B98" s="6" t="n">
        <v>1</v>
      </c>
      <c r="C98" s="6" t="n">
        <v>6</v>
      </c>
      <c r="D98" s="8" t="inlineStr">
        <is>
          <t>夜市开席</t>
        </is>
      </c>
      <c r="E98" s="8" t="inlineStr">
        <is>
          <t>Night Market</t>
        </is>
      </c>
      <c r="F98" s="8" t="inlineStr">
        <is>
          <t>Marché de nuit</t>
        </is>
      </c>
      <c r="G98" s="7" t="n">
        <v>3200</v>
      </c>
      <c r="H98" s="8" t="inlineStr">
        <is>
          <t>每 10 秒一次招呼最多 15 人停 3 秒</t>
        </is>
      </c>
      <c r="I98" s="8" t="inlineStr">
        <is>
          <t>Every 10 s up to 15 runners stop for 3 s</t>
        </is>
      </c>
      <c r="J98" s="8" t="inlineStr">
        <is>
          <t>Toutes les 10 s, jusqu’à 15 coureurs s’arrêtent 3 s</t>
        </is>
      </c>
      <c r="K98" s="7" t="inlineStr">
        <is>
          <t>cap=15; stay=3; rate=10</t>
        </is>
      </c>
      <c r="L98" s="9">
        <f>SUMIFS($G$3:$G$125,$A$3:$A$125,A98,$B$3:$B$125,B98,$C$3:$C$125,"&lt;="&amp;C98)</f>
        <v/>
      </c>
    </row>
    <row r="99">
      <c r="A99" s="6" t="inlineStr">
        <is>
          <t>lure</t>
        </is>
      </c>
      <c r="B99" s="6" t="n">
        <v>2</v>
      </c>
      <c r="C99" s="6" t="n">
        <v>1</v>
      </c>
      <c r="D99" s="8" t="inlineStr">
        <is>
          <t>软垫</t>
        </is>
      </c>
      <c r="E99" s="8" t="inlineStr">
        <is>
          <t>Soft Cushion</t>
        </is>
      </c>
      <c r="F99" s="8" t="inlineStr">
        <is>
          <t>Coussin</t>
        </is>
      </c>
      <c r="G99" s="7" t="n">
        <v>50</v>
      </c>
      <c r="H99" s="8" t="inlineStr">
        <is>
          <t>停留 +0.5 秒</t>
        </is>
      </c>
      <c r="I99" s="8" t="inlineStr">
        <is>
          <t>Stay +0.5 s</t>
        </is>
      </c>
      <c r="J99" s="8" t="inlineStr">
        <is>
          <t>Arrêt +0,5 s</t>
        </is>
      </c>
      <c r="K99" s="7" t="inlineStr">
        <is>
          <t>stay+=0.5</t>
        </is>
      </c>
      <c r="L99" s="9">
        <f>SUMIFS($G$3:$G$125,$A$3:$A$125,A99,$B$3:$B$125,B99,$C$3:$C$125,"&lt;="&amp;C99)</f>
        <v/>
      </c>
    </row>
    <row r="100">
      <c r="A100" s="6" t="inlineStr">
        <is>
          <t>lure</t>
        </is>
      </c>
      <c r="B100" s="6" t="n">
        <v>2</v>
      </c>
      <c r="C100" s="6" t="n">
        <v>2</v>
      </c>
      <c r="D100" s="8" t="inlineStr">
        <is>
          <t>翻台快</t>
        </is>
      </c>
      <c r="E100" s="8" t="inlineStr">
        <is>
          <t>Quick Turnover</t>
        </is>
      </c>
      <c r="F100" s="8" t="inlineStr">
        <is>
          <t>Rotation rapide</t>
        </is>
      </c>
      <c r="G100" s="7" t="n">
        <v>90</v>
      </c>
      <c r="H100" s="8" t="inlineStr">
        <is>
          <t>招呼间隔 −20%</t>
        </is>
      </c>
      <c r="I100" s="8" t="inlineStr">
        <is>
          <t>Invite interval −20%</t>
        </is>
      </c>
      <c r="J100" s="8" t="inlineStr">
        <is>
          <t>Intervalle −20 %</t>
        </is>
      </c>
      <c r="K100" s="7" t="inlineStr">
        <is>
          <t>rate*=0.8</t>
        </is>
      </c>
      <c r="L100" s="9">
        <f>SUMIFS($G$3:$G$125,$A$3:$A$125,A100,$B$3:$B$125,B100,$C$3:$C$125,"&lt;="&amp;C100)</f>
        <v/>
      </c>
    </row>
    <row r="101">
      <c r="A101" s="6" t="inlineStr">
        <is>
          <t>lure</t>
        </is>
      </c>
      <c r="B101" s="6" t="n">
        <v>2</v>
      </c>
      <c r="C101" s="6" t="n">
        <v>3</v>
      </c>
      <c r="D101" s="8" t="inlineStr">
        <is>
          <t>沙发休息站</t>
        </is>
      </c>
      <c r="E101" s="8" t="inlineStr">
        <is>
          <t>Sofa Lounge</t>
        </is>
      </c>
      <c r="F101" s="8" t="inlineStr">
        <is>
          <t>Salon canapé</t>
        </is>
      </c>
      <c r="G101" s="7" t="n">
        <v>280</v>
      </c>
      <c r="H101" s="8" t="inlineStr">
        <is>
          <t>2 个座位，每人躺 3 秒；有空位才招新人</t>
        </is>
      </c>
      <c r="I101" s="8" t="inlineStr">
        <is>
          <t>2 seats, 3 s rest each; only invites when a seat is free</t>
        </is>
      </c>
      <c r="J101" s="8" t="inlineStr">
        <is>
          <t>2 places, 3 s de repos ; invite seulement s’il y a de la place</t>
        </is>
      </c>
      <c r="K101" s="7" t="inlineStr">
        <is>
          <t>seats=2; stay=3</t>
        </is>
      </c>
      <c r="L101" s="9">
        <f>SUMIFS($G$3:$G$125,$A$3:$A$125,A101,$B$3:$B$125,B101,$C$3:$C$125,"&lt;="&amp;C101)</f>
        <v/>
      </c>
    </row>
    <row r="102">
      <c r="A102" s="6" t="inlineStr">
        <is>
          <t>lure</t>
        </is>
      </c>
      <c r="B102" s="6" t="n">
        <v>2</v>
      </c>
      <c r="C102" s="6" t="n">
        <v>4</v>
      </c>
      <c r="D102" s="8" t="inlineStr">
        <is>
          <t>深度放松</t>
        </is>
      </c>
      <c r="E102" s="8" t="inlineStr">
        <is>
          <t>Deep Relax</t>
        </is>
      </c>
      <c r="F102" s="8" t="inlineStr">
        <is>
          <t>Détente profonde</t>
        </is>
      </c>
      <c r="G102" s="7" t="n">
        <v>600</v>
      </c>
      <c r="H102" s="8" t="inlineStr">
        <is>
          <t>每人躺 4.5 秒</t>
        </is>
      </c>
      <c r="I102" s="8" t="inlineStr">
        <is>
          <t>4.5 s rest each</t>
        </is>
      </c>
      <c r="J102" s="8" t="inlineStr">
        <is>
          <t>Repos de 4,5 s</t>
        </is>
      </c>
      <c r="K102" s="7" t="inlineStr">
        <is>
          <t>stay=4.5</t>
        </is>
      </c>
      <c r="L102" s="9">
        <f>SUMIFS($G$3:$G$125,$A$3:$A$125,A102,$B$3:$B$125,B102,$C$3:$C$125,"&lt;="&amp;C102)</f>
        <v/>
      </c>
    </row>
    <row r="103">
      <c r="A103" s="6" t="inlineStr">
        <is>
          <t>lure</t>
        </is>
      </c>
      <c r="B103" s="6" t="n">
        <v>2</v>
      </c>
      <c r="C103" s="6" t="n">
        <v>5</v>
      </c>
      <c r="D103" s="8" t="inlineStr">
        <is>
          <t>VIP 沙发</t>
        </is>
      </c>
      <c r="E103" s="8" t="inlineStr">
        <is>
          <t>VIP Sofa</t>
        </is>
      </c>
      <c r="F103" s="8" t="inlineStr">
        <is>
          <t>Canapé VIP</t>
        </is>
      </c>
      <c r="G103" s="7" t="n">
        <v>1300</v>
      </c>
      <c r="H103" s="8" t="inlineStr">
        <is>
          <t>3 个座位，躺 6 秒</t>
        </is>
      </c>
      <c r="I103" s="8" t="inlineStr">
        <is>
          <t>3 seats, 6 s rest</t>
        </is>
      </c>
      <c r="J103" s="8" t="inlineStr">
        <is>
          <t>3 places, 6 s</t>
        </is>
      </c>
      <c r="K103" s="7" t="inlineStr">
        <is>
          <t>seats=3; stay=6</t>
        </is>
      </c>
      <c r="L103" s="9">
        <f>SUMIFS($G$3:$G$125,$A$3:$A$125,A103,$B$3:$B$125,B103,$C$3:$C$125,"&lt;="&amp;C103)</f>
        <v/>
      </c>
    </row>
    <row r="104">
      <c r="A104" s="6" t="inlineStr">
        <is>
          <t>lure</t>
        </is>
      </c>
      <c r="B104" s="6" t="n">
        <v>2</v>
      </c>
      <c r="C104" s="6" t="n">
        <v>6</v>
      </c>
      <c r="D104" s="8" t="inlineStr">
        <is>
          <t>至尊躺平区</t>
        </is>
      </c>
      <c r="E104" s="8" t="inlineStr">
        <is>
          <t>Ultimate Lie-Flat</t>
        </is>
      </c>
      <c r="F104" s="8" t="inlineStr">
        <is>
          <t>Zone de flemme ultime</t>
        </is>
      </c>
      <c r="G104" s="7" t="n">
        <v>3200</v>
      </c>
      <c r="H104" s="8" t="inlineStr">
        <is>
          <t>2 个座位，躺 12 秒</t>
        </is>
      </c>
      <c r="I104" s="8" t="inlineStr">
        <is>
          <t>2 seats, 12 s rest</t>
        </is>
      </c>
      <c r="J104" s="8" t="inlineStr">
        <is>
          <t>2 places, 12 s</t>
        </is>
      </c>
      <c r="K104" s="7" t="inlineStr">
        <is>
          <t>seats=2; stay=12</t>
        </is>
      </c>
      <c r="L104" s="9">
        <f>SUMIFS($G$3:$G$125,$A$3:$A$125,A104,$B$3:$B$125,B104,$C$3:$C$125,"&lt;="&amp;C104)</f>
        <v/>
      </c>
    </row>
    <row r="105">
      <c r="A105" s="6" t="inlineStr">
        <is>
          <t>lure</t>
        </is>
      </c>
      <c r="B105" s="6" t="n">
        <v>3</v>
      </c>
      <c r="C105" s="6" t="n">
        <v>1</v>
      </c>
      <c r="D105" s="8" t="inlineStr">
        <is>
          <t>快速吆喝</t>
        </is>
      </c>
      <c r="E105" s="8" t="inlineStr">
        <is>
          <t>Quick Call</t>
        </is>
      </c>
      <c r="F105" s="8" t="inlineStr">
        <is>
          <t>Appel rapide</t>
        </is>
      </c>
      <c r="G105" s="7" t="n">
        <v>50</v>
      </c>
      <c r="H105" s="8" t="inlineStr">
        <is>
          <t>招呼间隔 −20%</t>
        </is>
      </c>
      <c r="I105" s="8" t="inlineStr">
        <is>
          <t>Invite interval −20%</t>
        </is>
      </c>
      <c r="J105" s="8" t="inlineStr">
        <is>
          <t>Intervalle −20 %</t>
        </is>
      </c>
      <c r="K105" s="7" t="inlineStr">
        <is>
          <t>rate*=0.8</t>
        </is>
      </c>
      <c r="L105" s="9">
        <f>SUMIFS($G$3:$G$125,$A$3:$A$125,A105,$B$3:$B$125,B105,$C$3:$C$125,"&lt;="&amp;C105)</f>
        <v/>
      </c>
    </row>
    <row r="106">
      <c r="A106" s="6" t="inlineStr">
        <is>
          <t>lure</t>
        </is>
      </c>
      <c r="B106" s="6" t="n">
        <v>3</v>
      </c>
      <c r="C106" s="6" t="n">
        <v>2</v>
      </c>
      <c r="D106" s="8" t="inlineStr">
        <is>
          <t>打断冲刺</t>
        </is>
      </c>
      <c r="E106" s="8" t="inlineStr">
        <is>
          <t>Break the Sprint</t>
        </is>
      </c>
      <c r="F106" s="8" t="inlineStr">
        <is>
          <t>Casser le sprint</t>
        </is>
      </c>
      <c r="G106" s="7" t="n">
        <v>100</v>
      </c>
      <c r="H106" s="8" t="inlineStr">
        <is>
          <t>围观者失去加速</t>
        </is>
      </c>
      <c r="I106" s="8" t="inlineStr">
        <is>
          <t>Onlookers lose speed boosts</t>
        </is>
      </c>
      <c r="J106" s="8" t="inlineStr">
        <is>
          <t>Les curieux perdent leurs accélérations</t>
        </is>
      </c>
      <c r="K106" s="7" t="inlineStr">
        <is>
          <t>cleanse=1</t>
        </is>
      </c>
      <c r="L106" s="9">
        <f>SUMIFS($G$3:$G$125,$A$3:$A$125,A106,$B$3:$B$125,B106,$C$3:$C$125,"&lt;="&amp;C106)</f>
        <v/>
      </c>
    </row>
    <row r="107">
      <c r="A107" s="6" t="inlineStr">
        <is>
          <t>lure</t>
        </is>
      </c>
      <c r="B107" s="6" t="n">
        <v>3</v>
      </c>
      <c r="C107" s="6" t="n">
        <v>3</v>
      </c>
      <c r="D107" s="8" t="inlineStr">
        <is>
          <t>球鞋展示柜</t>
        </is>
      </c>
      <c r="E107" s="8" t="inlineStr">
        <is>
          <t>Sneaker Showcase</t>
        </is>
      </c>
      <c r="F107" s="8" t="inlineStr">
        <is>
          <t>Vitrine de baskets</t>
        </is>
      </c>
      <c r="G107" s="7" t="n">
        <v>280</v>
      </c>
      <c r="H107" s="8" t="inlineStr">
        <is>
          <t>围观者还会失去能量盾和回血</t>
        </is>
      </c>
      <c r="I107" s="8" t="inlineStr">
        <is>
          <t>Onlookers also lose energy shields and regen</t>
        </is>
      </c>
      <c r="J107" s="8" t="inlineStr">
        <is>
          <t>Les curieux perdent aussi boucliers et régénération</t>
        </is>
      </c>
      <c r="K107" s="7" t="inlineStr">
        <is>
          <t>cleanse=2</t>
        </is>
      </c>
      <c r="L107" s="9">
        <f>SUMIFS($G$3:$G$125,$A$3:$A$125,A107,$B$3:$B$125,B107,$C$3:$C$125,"&lt;="&amp;C107)</f>
        <v/>
      </c>
    </row>
    <row r="108">
      <c r="A108" s="6" t="inlineStr">
        <is>
          <t>lure</t>
        </is>
      </c>
      <c r="B108" s="6" t="n">
        <v>3</v>
      </c>
      <c r="C108" s="6" t="n">
        <v>4</v>
      </c>
      <c r="D108" s="8" t="inlineStr">
        <is>
          <t>排长队</t>
        </is>
      </c>
      <c r="E108" s="8" t="inlineStr">
        <is>
          <t>Long Queue</t>
        </is>
      </c>
      <c r="F108" s="8" t="inlineStr">
        <is>
          <t>Longue file</t>
        </is>
      </c>
      <c r="G108" s="7" t="n">
        <v>600</v>
      </c>
      <c r="H108" s="8" t="inlineStr">
        <is>
          <t>一次多招呼 3 人</t>
        </is>
      </c>
      <c r="I108" s="8" t="inlineStr">
        <is>
          <t>3 more per invite</t>
        </is>
      </c>
      <c r="J108" s="8" t="inlineStr">
        <is>
          <t>3 de plus par invitation</t>
        </is>
      </c>
      <c r="K108" s="7" t="inlineStr">
        <is>
          <t>cap+=3</t>
        </is>
      </c>
      <c r="L108" s="9">
        <f>SUMIFS($G$3:$G$125,$A$3:$A$125,A108,$B$3:$B$125,B108,$C$3:$C$125,"&lt;="&amp;C108)</f>
        <v/>
      </c>
    </row>
    <row r="109">
      <c r="A109" s="6" t="inlineStr">
        <is>
          <t>lure</t>
        </is>
      </c>
      <c r="B109" s="6" t="n">
        <v>3</v>
      </c>
      <c r="C109" s="6" t="n">
        <v>5</v>
      </c>
      <c r="D109" s="8" t="inlineStr">
        <is>
          <t>限量款</t>
        </is>
      </c>
      <c r="E109" s="8" t="inlineStr">
        <is>
          <t>Limited Edition</t>
        </is>
      </c>
      <c r="F109" s="8" t="inlineStr">
        <is>
          <t>Modèle limité</t>
        </is>
      </c>
      <c r="G109" s="7" t="n">
        <v>1300</v>
      </c>
      <c r="H109" s="8" t="inlineStr">
        <is>
          <t>耐力跑者和巨鲸也会来围观</t>
        </is>
      </c>
      <c r="I109" s="8" t="inlineStr">
        <is>
          <t>Endurance runners and whales come too</t>
        </is>
      </c>
      <c r="J109" s="8" t="inlineStr">
        <is>
          <t>Endurants et baleines viennent aussi</t>
        </is>
      </c>
      <c r="K109" s="7" t="inlineStr">
        <is>
          <t>lureHeavy=1</t>
        </is>
      </c>
      <c r="L109" s="9">
        <f>SUMIFS($G$3:$G$125,$A$3:$A$125,A109,$B$3:$B$125,B109,$C$3:$C$125,"&lt;="&amp;C109)</f>
        <v/>
      </c>
    </row>
    <row r="110">
      <c r="A110" s="6" t="inlineStr">
        <is>
          <t>lure</t>
        </is>
      </c>
      <c r="B110" s="6" t="n">
        <v>3</v>
      </c>
      <c r="C110" s="6" t="n">
        <v>6</v>
      </c>
      <c r="D110" s="8" t="inlineStr">
        <is>
          <t>限量发售会</t>
        </is>
      </c>
      <c r="E110" s="8" t="inlineStr">
        <is>
          <t>Launch Event</t>
        </is>
      </c>
      <c r="F110" s="8" t="inlineStr">
        <is>
          <t>Lancement exclusif</t>
        </is>
      </c>
      <c r="G110" s="7" t="n">
        <v>3000</v>
      </c>
      <c r="H110" s="8" t="inlineStr">
        <is>
          <t>每 9 秒：范围 ×1.4 内所有跑者（Boss 除外）失去增益并停 1 秒</t>
        </is>
      </c>
      <c r="I110" s="8" t="inlineStr">
        <is>
          <t>Every 9 s: every runner within 1.4× range (not bosses) loses buffs and stops 1 s</t>
        </is>
      </c>
      <c r="J110" s="8" t="inlineStr">
        <is>
          <t>Toutes les 9 s : tous les coureurs à 1,4× la portée (sauf boss) perdent leurs bonus et s’arrêtent 1 s</t>
        </is>
      </c>
      <c r="K110" s="7" t="inlineStr">
        <is>
          <t>launch=9</t>
        </is>
      </c>
      <c r="L110" s="9">
        <f>SUMIFS($G$3:$G$125,$A$3:$A$125,A110,$B$3:$B$125,B110,$C$3:$C$125,"&lt;="&amp;C110)</f>
        <v/>
      </c>
    </row>
    <row r="111">
      <c r="A111" s="6" t="inlineStr">
        <is>
          <t>miner</t>
        </is>
      </c>
      <c r="B111" s="6" t="n">
        <v>1</v>
      </c>
      <c r="C111" s="6" t="n">
        <v>1</v>
      </c>
      <c r="D111" s="8" t="inlineStr">
        <is>
          <t>超频 CPU</t>
        </is>
      </c>
      <c r="E111" s="8" t="inlineStr">
        <is>
          <t>Overclocked CPU</t>
        </is>
      </c>
      <c r="F111" s="8" t="inlineStr">
        <is>
          <t>CPU surcadencé</t>
        </is>
      </c>
      <c r="G111" s="7" t="n">
        <v>60</v>
      </c>
      <c r="H111" s="8" t="inlineStr">
        <is>
          <t>算力 +50%</t>
        </is>
      </c>
      <c r="I111" s="8" t="inlineStr">
        <is>
          <t>Hash +50%</t>
        </is>
      </c>
      <c r="J111" s="8" t="inlineStr">
        <is>
          <t>Puissance +50 %</t>
        </is>
      </c>
      <c r="K111" s="7" t="inlineStr">
        <is>
          <t>hash*=1.5</t>
        </is>
      </c>
      <c r="L111" s="9">
        <f>SUMIFS($G$3:$G$125,$A$3:$A$125,A111,$B$3:$B$125,B111,$C$3:$C$125,"&lt;="&amp;C111)</f>
        <v/>
      </c>
    </row>
    <row r="112">
      <c r="A112" s="6" t="inlineStr">
        <is>
          <t>miner</t>
        </is>
      </c>
      <c r="B112" s="6" t="n">
        <v>1</v>
      </c>
      <c r="C112" s="6" t="n">
        <v>2</v>
      </c>
      <c r="D112" s="8" t="inlineStr">
        <is>
          <t>双核处理器</t>
        </is>
      </c>
      <c r="E112" s="8" t="inlineStr">
        <is>
          <t>Dual-core CPU</t>
        </is>
      </c>
      <c r="F112" s="8" t="inlineStr">
        <is>
          <t>Processeur double cœur</t>
        </is>
      </c>
      <c r="G112" s="7" t="n">
        <v>120</v>
      </c>
      <c r="H112" s="8" t="inlineStr">
        <is>
          <t>算力 +50%</t>
        </is>
      </c>
      <c r="I112" s="8" t="inlineStr">
        <is>
          <t>Hash +50%</t>
        </is>
      </c>
      <c r="J112" s="8" t="inlineStr">
        <is>
          <t>Puissance +50 %</t>
        </is>
      </c>
      <c r="K112" s="7" t="inlineStr">
        <is>
          <t>hash*=1.5</t>
        </is>
      </c>
      <c r="L112" s="9">
        <f>SUMIFS($G$3:$G$125,$A$3:$A$125,A112,$B$3:$B$125,B112,$C$3:$C$125,"&lt;="&amp;C112)</f>
        <v/>
      </c>
    </row>
    <row r="113">
      <c r="A113" s="6" t="inlineStr">
        <is>
          <t>miner</t>
        </is>
      </c>
      <c r="B113" s="6" t="n">
        <v>1</v>
      </c>
      <c r="C113" s="6" t="n">
        <v>3</v>
      </c>
      <c r="D113" s="8" t="inlineStr">
        <is>
          <t>显卡挖矿</t>
        </is>
      </c>
      <c r="E113" s="8" t="inlineStr">
        <is>
          <t>GPU Mining</t>
        </is>
      </c>
      <c r="F113" s="8" t="inlineStr">
        <is>
          <t>Minage GPU</t>
        </is>
      </c>
      <c r="G113" s="7" t="n">
        <v>300</v>
      </c>
      <c r="H113" s="8" t="inlineStr">
        <is>
          <t>算力 ×3（2010 年显卡挖矿开始流行）</t>
        </is>
      </c>
      <c r="I113" s="8" t="inlineStr">
        <is>
          <t>Hash ×3 (GPU mining took off in 2010)</t>
        </is>
      </c>
      <c r="J113" s="8" t="inlineStr">
        <is>
          <t>Puissance ×3 (le minage GPU décolle en 2010)</t>
        </is>
      </c>
      <c r="K113" s="7" t="inlineStr">
        <is>
          <t>hash*=3</t>
        </is>
      </c>
      <c r="L113" s="9">
        <f>SUMIFS($G$3:$G$125,$A$3:$A$125,A113,$B$3:$B$125,B113,$C$3:$C$125,"&lt;="&amp;C113)</f>
        <v/>
      </c>
    </row>
    <row r="114">
      <c r="A114" s="6" t="inlineStr">
        <is>
          <t>miner</t>
        </is>
      </c>
      <c r="B114" s="6" t="n">
        <v>1</v>
      </c>
      <c r="C114" s="6" t="n">
        <v>4</v>
      </c>
      <c r="D114" s="8" t="inlineStr">
        <is>
          <t>多卡矿机</t>
        </is>
      </c>
      <c r="E114" s="8" t="inlineStr">
        <is>
          <t>Multi-GPU Rig</t>
        </is>
      </c>
      <c r="F114" s="8" t="inlineStr">
        <is>
          <t>Rig multi-GPU</t>
        </is>
      </c>
      <c r="G114" s="7" t="n">
        <v>700</v>
      </c>
      <c r="H114" s="8" t="inlineStr">
        <is>
          <t>算力 ×2</t>
        </is>
      </c>
      <c r="I114" s="8" t="inlineStr">
        <is>
          <t>Hash ×2</t>
        </is>
      </c>
      <c r="J114" s="8" t="inlineStr">
        <is>
          <t>Puissance ×2</t>
        </is>
      </c>
      <c r="K114" s="7" t="inlineStr">
        <is>
          <t>hash*=2</t>
        </is>
      </c>
      <c r="L114" s="9">
        <f>SUMIFS($G$3:$G$125,$A$3:$A$125,A114,$B$3:$B$125,B114,$C$3:$C$125,"&lt;="&amp;C114)</f>
        <v/>
      </c>
    </row>
    <row r="115">
      <c r="A115" s="6" t="inlineStr">
        <is>
          <t>miner</t>
        </is>
      </c>
      <c r="B115" s="6" t="n">
        <v>1</v>
      </c>
      <c r="C115" s="6" t="n">
        <v>5</v>
      </c>
      <c r="D115" s="8" t="inlineStr">
        <is>
          <t>显卡农场</t>
        </is>
      </c>
      <c r="E115" s="8" t="inlineStr">
        <is>
          <t>GPU Farm</t>
        </is>
      </c>
      <c r="F115" s="8" t="inlineStr">
        <is>
          <t>Ferme GPU</t>
        </is>
      </c>
      <c r="G115" s="7" t="n">
        <v>1500</v>
      </c>
      <c r="H115" s="8" t="inlineStr">
        <is>
          <t>算力 ×2.5</t>
        </is>
      </c>
      <c r="I115" s="8" t="inlineStr">
        <is>
          <t>Hash ×2.5</t>
        </is>
      </c>
      <c r="J115" s="8" t="inlineStr">
        <is>
          <t>Puissance ×2,5</t>
        </is>
      </c>
      <c r="K115" s="7" t="inlineStr">
        <is>
          <t>hash*=2.5</t>
        </is>
      </c>
      <c r="L115" s="9">
        <f>SUMIFS($G$3:$G$125,$A$3:$A$125,A115,$B$3:$B$125,B115,$C$3:$C$125,"&lt;="&amp;C115)</f>
        <v/>
      </c>
    </row>
    <row r="116">
      <c r="A116" s="6" t="inlineStr">
        <is>
          <t>miner</t>
        </is>
      </c>
      <c r="B116" s="6" t="n">
        <v>2</v>
      </c>
      <c r="C116" s="6" t="n">
        <v>1</v>
      </c>
      <c r="D116" s="8" t="inlineStr">
        <is>
          <t>加入矿池</t>
        </is>
      </c>
      <c r="E116" s="8" t="inlineStr">
        <is>
          <t>Join a Pool</t>
        </is>
      </c>
      <c r="F116" s="8" t="inlineStr">
        <is>
          <t>Rejoindre un pool</t>
        </is>
      </c>
      <c r="G116" s="7" t="n">
        <v>70</v>
      </c>
      <c r="H116" s="8" t="inlineStr">
        <is>
          <t>出块奖励 +25%</t>
        </is>
      </c>
      <c r="I116" s="8" t="inlineStr">
        <is>
          <t>Block reward +25%</t>
        </is>
      </c>
      <c r="J116" s="8" t="inlineStr">
        <is>
          <t>Récompense de bloc +25 %</t>
        </is>
      </c>
      <c r="K116" s="7" t="inlineStr">
        <is>
          <t>blockBonus+=0.25</t>
        </is>
      </c>
      <c r="L116" s="9">
        <f>SUMIFS($G$3:$G$125,$A$3:$A$125,A116,$B$3:$B$125,B116,$C$3:$C$125,"&lt;="&amp;C116)</f>
        <v/>
      </c>
    </row>
    <row r="117">
      <c r="A117" s="6" t="inlineStr">
        <is>
          <t>miner</t>
        </is>
      </c>
      <c r="B117" s="6" t="n">
        <v>2</v>
      </c>
      <c r="C117" s="6" t="n">
        <v>2</v>
      </c>
      <c r="D117" s="8" t="inlineStr">
        <is>
          <t>矿池分成</t>
        </is>
      </c>
      <c r="E117" s="8" t="inlineStr">
        <is>
          <t>Pool Payout</t>
        </is>
      </c>
      <c r="F117" s="8" t="inlineStr">
        <is>
          <t>Partage du pool</t>
        </is>
      </c>
      <c r="G117" s="7" t="n">
        <v>140</v>
      </c>
      <c r="H117" s="8" t="inlineStr">
        <is>
          <t>射程内其他装置效果 +15%</t>
        </is>
      </c>
      <c r="I117" s="8" t="inlineStr">
        <is>
          <t>Other devices in range: effect +15%</t>
        </is>
      </c>
      <c r="J117" s="8" t="inlineStr">
        <is>
          <t>Autres dispositifs à portée : effet +15 %</t>
        </is>
      </c>
      <c r="K117" s="7" t="inlineStr">
        <is>
          <t>auraDmg=1.15</t>
        </is>
      </c>
      <c r="L117" s="9">
        <f>SUMIFS($G$3:$G$125,$A$3:$A$125,A117,$B$3:$B$125,B117,$C$3:$C$125,"&lt;="&amp;C117)</f>
        <v/>
      </c>
    </row>
    <row r="118">
      <c r="A118" s="6" t="inlineStr">
        <is>
          <t>miner</t>
        </is>
      </c>
      <c r="B118" s="6" t="n">
        <v>2</v>
      </c>
      <c r="C118" s="6" t="n">
        <v>3</v>
      </c>
      <c r="D118" s="8" t="inlineStr">
        <is>
          <t>稳定收益</t>
        </is>
      </c>
      <c r="E118" s="8" t="inlineStr">
        <is>
          <t>Steady Income</t>
        </is>
      </c>
      <c r="F118" s="8" t="inlineStr">
        <is>
          <t>Revenu stable</t>
        </is>
      </c>
      <c r="G118" s="7" t="n">
        <v>320</v>
      </c>
      <c r="H118" s="8" t="inlineStr">
        <is>
          <t>出块奖励再 +50%</t>
        </is>
      </c>
      <c r="I118" s="8" t="inlineStr">
        <is>
          <t>Block reward +50% more</t>
        </is>
      </c>
      <c r="J118" s="8" t="inlineStr">
        <is>
          <t>Récompense de bloc encore +50 %</t>
        </is>
      </c>
      <c r="K118" s="7" t="inlineStr">
        <is>
          <t>blockBonus+=0.5</t>
        </is>
      </c>
      <c r="L118" s="9">
        <f>SUMIFS($G$3:$G$125,$A$3:$A$125,A118,$B$3:$B$125,B118,$C$3:$C$125,"&lt;="&amp;C118)</f>
        <v/>
      </c>
    </row>
    <row r="119">
      <c r="A119" s="6" t="inlineStr">
        <is>
          <t>miner</t>
        </is>
      </c>
      <c r="B119" s="6" t="n">
        <v>2</v>
      </c>
      <c r="C119" s="6" t="n">
        <v>4</v>
      </c>
      <c r="D119" s="8" t="inlineStr">
        <is>
          <t>大矿池</t>
        </is>
      </c>
      <c r="E119" s="8" t="inlineStr">
        <is>
          <t>Big Pool</t>
        </is>
      </c>
      <c r="F119" s="8" t="inlineStr">
        <is>
          <t>Gros pool</t>
        </is>
      </c>
      <c r="G119" s="7" t="n">
        <v>700</v>
      </c>
      <c r="H119" s="8" t="inlineStr">
        <is>
          <t>射程内其他装置效果 +30%，射程 +30</t>
        </is>
      </c>
      <c r="I119" s="8" t="inlineStr">
        <is>
          <t>Other devices in range: effect +30%; range +30</t>
        </is>
      </c>
      <c r="J119" s="8" t="inlineStr">
        <is>
          <t>Autres dispositifs à portée : effet +30 % ; portée +30</t>
        </is>
      </c>
      <c r="K119" s="7" t="inlineStr">
        <is>
          <t>auraDmg=1.3; range+=30</t>
        </is>
      </c>
      <c r="L119" s="9">
        <f>SUMIFS($G$3:$G$125,$A$3:$A$125,A119,$B$3:$B$125,B119,$C$3:$C$125,"&lt;="&amp;C119)</f>
        <v/>
      </c>
    </row>
    <row r="120">
      <c r="A120" s="6" t="inlineStr">
        <is>
          <t>miner</t>
        </is>
      </c>
      <c r="B120" s="6" t="n">
        <v>2</v>
      </c>
      <c r="C120" s="6" t="n">
        <v>5</v>
      </c>
      <c r="D120" s="8" t="inlineStr">
        <is>
          <t>算力联盟</t>
        </is>
      </c>
      <c r="E120" s="8" t="inlineStr">
        <is>
          <t>Hash Alliance</t>
        </is>
      </c>
      <c r="F120" s="8" t="inlineStr">
        <is>
          <t>Alliance de puissance</t>
        </is>
      </c>
      <c r="G120" s="7" t="n">
        <v>1500</v>
      </c>
      <c r="H120" s="8" t="inlineStr">
        <is>
          <t>出块奖励再 +100%，射程内装置出手间隔 −15%</t>
        </is>
      </c>
      <c r="I120" s="8" t="inlineStr">
        <is>
          <t>Block reward +100% more; devices in range: interval −15%</t>
        </is>
      </c>
      <c r="J120" s="8" t="inlineStr">
        <is>
          <t>Récompense encore +100 % ; dispositifs à portée : intervalle −15 %</t>
        </is>
      </c>
      <c r="K120" s="7" t="inlineStr">
        <is>
          <t>blockBonus+=1; auraRate=0.85</t>
        </is>
      </c>
      <c r="L120" s="9">
        <f>SUMIFS($G$3:$G$125,$A$3:$A$125,A120,$B$3:$B$125,B120,$C$3:$C$125,"&lt;="&amp;C120)</f>
        <v/>
      </c>
    </row>
    <row r="121">
      <c r="A121" s="6" t="inlineStr">
        <is>
          <t>miner</t>
        </is>
      </c>
      <c r="B121" s="6" t="n">
        <v>3</v>
      </c>
      <c r="C121" s="6" t="n">
        <v>1</v>
      </c>
      <c r="D121" s="8" t="inlineStr">
        <is>
          <t>风扇狂转</t>
        </is>
      </c>
      <c r="E121" s="8" t="inlineStr">
        <is>
          <t>Fans Roaring</t>
        </is>
      </c>
      <c r="F121" s="8" t="inlineStr">
        <is>
          <t>Ventilos à fond</t>
        </is>
      </c>
      <c r="G121" s="7" t="n">
        <v>60</v>
      </c>
      <c r="H121" s="8" t="inlineStr">
        <is>
          <t>吹出热风：射程内跑者每秒受 1 点效果并挂上“热”</t>
        </is>
      </c>
      <c r="I121" s="8" t="inlineStr">
        <is>
          <t>Blows hot air: runners in range take 1 effect per second and get “Heat”</t>
        </is>
      </c>
      <c r="J121" s="8" t="inlineStr">
        <is>
          <t>Souffle de l’air chaud : coureurs à portée subissent 1 effet par seconde et reçoivent « Chaleur »</t>
        </is>
      </c>
      <c r="K121" s="7" t="inlineStr">
        <is>
          <t>heat+=1</t>
        </is>
      </c>
      <c r="L121" s="9">
        <f>SUMIFS($G$3:$G$125,$A$3:$A$125,A121,$B$3:$B$125,B121,$C$3:$C$125,"&lt;="&amp;C121)</f>
        <v/>
      </c>
    </row>
    <row r="122">
      <c r="A122" s="6" t="inlineStr">
        <is>
          <t>miner</t>
        </is>
      </c>
      <c r="B122" s="6" t="n">
        <v>3</v>
      </c>
      <c r="C122" s="6" t="n">
        <v>2</v>
      </c>
      <c r="D122" s="8" t="inlineStr">
        <is>
          <t>机箱漏风</t>
        </is>
      </c>
      <c r="E122" s="8" t="inlineStr">
        <is>
          <t>Leaky Case</t>
        </is>
      </c>
      <c r="F122" s="8" t="inlineStr">
        <is>
          <t>Boîtier qui fuit</t>
        </is>
      </c>
      <c r="G122" s="7" t="n">
        <v>120</v>
      </c>
      <c r="H122" s="8" t="inlineStr">
        <is>
          <t>热风 +2</t>
        </is>
      </c>
      <c r="I122" s="8" t="inlineStr">
        <is>
          <t>Heat +2</t>
        </is>
      </c>
      <c r="J122" s="8" t="inlineStr">
        <is>
          <t>Chaleur +2</t>
        </is>
      </c>
      <c r="K122" s="7" t="inlineStr">
        <is>
          <t>heat+=2</t>
        </is>
      </c>
      <c r="L122" s="9">
        <f>SUMIFS($G$3:$G$125,$A$3:$A$125,A122,$B$3:$B$125,B122,$C$3:$C$125,"&lt;="&amp;C122)</f>
        <v/>
      </c>
    </row>
    <row r="123">
      <c r="A123" s="6" t="inlineStr">
        <is>
          <t>miner</t>
        </is>
      </c>
      <c r="B123" s="6" t="n">
        <v>3</v>
      </c>
      <c r="C123" s="6" t="n">
        <v>3</v>
      </c>
      <c r="D123" s="8" t="inlineStr">
        <is>
          <t>水冷管道</t>
        </is>
      </c>
      <c r="E123" s="8" t="inlineStr">
        <is>
          <t>Water-cooling Loop</t>
        </is>
      </c>
      <c r="F123" s="8" t="inlineStr">
        <is>
          <t>Watercooling</t>
        </is>
      </c>
      <c r="G123" s="7" t="n">
        <v>300</v>
      </c>
      <c r="H123" s="8" t="inlineStr">
        <is>
          <t>射程 +25</t>
        </is>
      </c>
      <c r="I123" s="8" t="inlineStr">
        <is>
          <t>Range +25</t>
        </is>
      </c>
      <c r="J123" s="8" t="inlineStr">
        <is>
          <t>Portée +25</t>
        </is>
      </c>
      <c r="K123" s="7" t="inlineStr">
        <is>
          <t>range+=25</t>
        </is>
      </c>
      <c r="L123" s="9">
        <f>SUMIFS($G$3:$G$125,$A$3:$A$125,A123,$B$3:$B$125,B123,$C$3:$C$125,"&lt;="&amp;C123)</f>
        <v/>
      </c>
    </row>
    <row r="124">
      <c r="A124" s="6" t="inlineStr">
        <is>
          <t>miner</t>
        </is>
      </c>
      <c r="B124" s="6" t="n">
        <v>3</v>
      </c>
      <c r="C124" s="6" t="n">
        <v>4</v>
      </c>
      <c r="D124" s="8" t="inlineStr">
        <is>
          <t>烧机模式</t>
        </is>
      </c>
      <c r="E124" s="8" t="inlineStr">
        <is>
          <t>Burn-in Mode</t>
        </is>
      </c>
      <c r="F124" s="8" t="inlineStr">
        <is>
          <t>Mode surchauffe</t>
        </is>
      </c>
      <c r="G124" s="7" t="n">
        <v>700</v>
      </c>
      <c r="H124" s="8" t="inlineStr">
        <is>
          <t>热风 ×3</t>
        </is>
      </c>
      <c r="I124" s="8" t="inlineStr">
        <is>
          <t>Heat ×3</t>
        </is>
      </c>
      <c r="J124" s="8" t="inlineStr">
        <is>
          <t>Chaleur ×3</t>
        </is>
      </c>
      <c r="K124" s="7" t="inlineStr">
        <is>
          <t>heat*=3</t>
        </is>
      </c>
      <c r="L124" s="9">
        <f>SUMIFS($G$3:$G$125,$A$3:$A$125,A124,$B$3:$B$125,B124,$C$3:$C$125,"&lt;="&amp;C124)</f>
        <v/>
      </c>
    </row>
    <row r="125">
      <c r="A125" s="6" t="inlineStr">
        <is>
          <t>miner</t>
        </is>
      </c>
      <c r="B125" s="6" t="n">
        <v>3</v>
      </c>
      <c r="C125" s="6" t="n">
        <v>5</v>
      </c>
      <c r="D125" s="8" t="inlineStr">
        <is>
          <t>矿场火炉</t>
        </is>
      </c>
      <c r="E125" s="8" t="inlineStr">
        <is>
          <t>Mine Furnace</t>
        </is>
      </c>
      <c r="F125" s="8" t="inlineStr">
        <is>
          <t>Fournaise de mine</t>
        </is>
      </c>
      <c r="G125" s="7" t="n">
        <v>1500</v>
      </c>
      <c r="H125" s="8" t="inlineStr">
        <is>
          <t>热风 +15，射程 +30</t>
        </is>
      </c>
      <c r="I125" s="8" t="inlineStr">
        <is>
          <t>Heat +15; range +30</t>
        </is>
      </c>
      <c r="J125" s="8" t="inlineStr">
        <is>
          <t>Chaleur +15 ; portée +30</t>
        </is>
      </c>
      <c r="K125" s="7" t="inlineStr">
        <is>
          <t>heat+=15; range+=30</t>
        </is>
      </c>
      <c r="L125" s="9">
        <f>SUMIFS($G$3:$G$125,$A$3:$A$125,A125,$B$3:$B$125,B125,$C$3:$C$125,"&lt;="&amp;C125)</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解锁洒水器：持续喷水，范围减速</t>
        </is>
      </c>
      <c r="J4" s="8" t="inlineStr">
        <is>
          <t>Unlock the Sprinkler: keeps spraying, slows an area</t>
        </is>
      </c>
      <c r="K4" s="8" t="inlineStr">
        <is>
          <t>Débloque l’Arroseur : arrose en continu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m_miner</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m_lure</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breaker</t>
        </is>
      </c>
      <c r="B18" s="7" t="n">
        <v>1</v>
      </c>
      <c r="C18" s="6" t="inlineStr">
        <is>
          <t>道具</t>
        </is>
      </c>
      <c r="D18" s="7" t="inlineStr">
        <is>
          <t>L</t>
        </is>
      </c>
      <c r="E18" s="7" t="n">
        <v>0</v>
      </c>
      <c r="F18" s="8" t="inlineStr">
        <is>
          <t>创世鞋</t>
        </is>
      </c>
      <c r="G18" s="8" t="inlineStr">
        <is>
          <t>Genesis Sneaker</t>
        </is>
      </c>
      <c r="H18" s="8" t="inlineStr">
        <is>
          <t>Sneaker Genesis</t>
        </is>
      </c>
      <c r="I18" s="8" t="inlineStr">
        <is>
          <t>6 级专精升级费用 −30%</t>
        </is>
      </c>
      <c r="J18" s="8" t="inlineStr">
        <is>
          <t>Tier-6 specialisation upgrades −30%</t>
        </is>
      </c>
      <c r="K18" s="8" t="inlineStr">
        <is>
          <t>Spécialisations de niveau 6 −30 %</t>
        </is>
      </c>
      <c r="L18" s="7" t="n">
        <v>0.7</v>
      </c>
      <c r="M18" s="7" t="n">
        <v>0</v>
      </c>
      <c r="N18" s="9" t="inlineStr">
        <is>
          <t>v1 = 费用倍率</t>
        </is>
      </c>
    </row>
    <row r="19">
      <c r="A19" s="6" t="inlineStr">
        <is>
          <t>drill</t>
        </is>
      </c>
      <c r="B19" s="7" t="n">
        <v>1</v>
      </c>
      <c r="C19" s="6" t="inlineStr">
        <is>
          <t>宝石</t>
        </is>
      </c>
      <c r="D19" s="7" t="inlineStr">
        <is>
          <t>C</t>
        </is>
      </c>
      <c r="E19" s="7" t="n">
        <v>1</v>
      </c>
      <c r="F19" s="8" t="inlineStr">
        <is>
          <t>效率宝石</t>
        </is>
      </c>
      <c r="G19" s="8" t="inlineStr">
        <is>
          <t>Efficiency Gem</t>
        </is>
      </c>
      <c r="H19" s="8" t="inlineStr">
        <is>
          <t>Gemme d’efficacité</t>
        </is>
      </c>
      <c r="I19" s="8" t="inlineStr">
        <is>
          <t>所有装置效果 +15%（可叠加）</t>
        </is>
      </c>
      <c r="J19" s="8" t="inlineStr">
        <is>
          <t>All devices +15% effect (stacks)</t>
        </is>
      </c>
      <c r="K19" s="8" t="inlineStr">
        <is>
          <t>Tous les dispositifs +15 % d’effet (cumulable)</t>
        </is>
      </c>
      <c r="L19" s="7" t="n">
        <v>0.15</v>
      </c>
      <c r="M19" s="7" t="n">
        <v>0</v>
      </c>
      <c r="N19" s="9" t="inlineStr">
        <is>
          <t>v1 = 效果加成</t>
        </is>
      </c>
    </row>
    <row r="20">
      <c r="A20" s="6" t="inlineStr">
        <is>
          <t>crit</t>
        </is>
      </c>
      <c r="B20" s="7" t="n">
        <v>1</v>
      </c>
      <c r="C20" s="6" t="inlineStr">
        <is>
          <t>宝石</t>
        </is>
      </c>
      <c r="D20" s="7" t="inlineStr">
        <is>
          <t>C</t>
        </is>
      </c>
      <c r="E20" s="7" t="n">
        <v>1</v>
      </c>
      <c r="F20" s="8" t="inlineStr">
        <is>
          <t>幸运宝石</t>
        </is>
      </c>
      <c r="G20" s="8" t="inlineStr">
        <is>
          <t>Luck Gem</t>
        </is>
      </c>
      <c r="H20" s="8" t="inlineStr">
        <is>
          <t>Gemme de chance</t>
        </is>
      </c>
      <c r="I20" s="8" t="inlineStr">
        <is>
          <t>暴击率 +10%（可叠加）</t>
        </is>
      </c>
      <c r="J20" s="8" t="inlineStr">
        <is>
          <t>Crit chance +10% (stacks)</t>
        </is>
      </c>
      <c r="K20" s="8" t="inlineStr">
        <is>
          <t>Chance de critique +10 % (cumulable)</t>
        </is>
      </c>
      <c r="L20" s="7" t="n">
        <v>0.1</v>
      </c>
      <c r="M20" s="7" t="n">
        <v>0</v>
      </c>
      <c r="N20" s="9" t="inlineStr">
        <is>
          <t>v1 = 暴击率加成</t>
        </is>
      </c>
    </row>
    <row r="21">
      <c r="A21" s="6" t="inlineStr">
        <is>
          <t>heart</t>
        </is>
      </c>
      <c r="B21" s="7" t="n">
        <v>1</v>
      </c>
      <c r="C21" s="6" t="inlineStr">
        <is>
          <t>宝石</t>
        </is>
      </c>
      <c r="D21" s="7" t="inlineStr">
        <is>
          <t>C</t>
        </is>
      </c>
      <c r="E21" s="7" t="n">
        <v>1</v>
      </c>
      <c r="F21" s="8" t="inlineStr">
        <is>
          <t>舒适宝石</t>
        </is>
      </c>
      <c r="G21" s="8" t="inlineStr">
        <is>
          <t>Comfort Gem</t>
        </is>
      </c>
      <c r="H21" s="8" t="inlineStr">
        <is>
          <t>Gemme de confort</t>
        </is>
      </c>
      <c r="I21" s="8" t="inlineStr">
        <is>
          <t>生命 +6</t>
        </is>
      </c>
      <c r="J21" s="8" t="inlineStr">
        <is>
          <t>Lives +6</t>
        </is>
      </c>
      <c r="K21" s="8" t="inlineStr">
        <is>
          <t>Vies +6</t>
        </is>
      </c>
      <c r="L21" s="7" t="n">
        <v>6</v>
      </c>
      <c r="M21" s="7" t="n">
        <v>0</v>
      </c>
      <c r="N21" s="9" t="inlineStr">
        <is>
          <t>v1 = 生命</t>
        </is>
      </c>
    </row>
    <row r="22">
      <c r="A22" s="6" t="inlineStr">
        <is>
          <t>loot</t>
        </is>
      </c>
      <c r="B22" s="7" t="n">
        <v>1</v>
      </c>
      <c r="C22" s="6" t="inlineStr">
        <is>
          <t>道具</t>
        </is>
      </c>
      <c r="D22" s="7" t="inlineStr">
        <is>
          <t>C</t>
        </is>
      </c>
      <c r="E22" s="7" t="n">
        <v>1</v>
      </c>
      <c r="F22" s="8" t="inlineStr">
        <is>
          <t>GST 红包</t>
        </is>
      </c>
      <c r="G22" s="8" t="inlineStr">
        <is>
          <t>GST Red Packet</t>
        </is>
      </c>
      <c r="H22" s="8" t="inlineStr">
        <is>
          <t>Enveloppe GST</t>
        </is>
      </c>
      <c r="I22" s="8" t="inlineStr">
        <is>
          <t>立即获得 120 GST</t>
        </is>
      </c>
      <c r="J22" s="8" t="inlineStr">
        <is>
          <t>Get 120 GST now</t>
        </is>
      </c>
      <c r="K22" s="8" t="inlineStr">
        <is>
          <t>Gagne 120 GST tout de suite</t>
        </is>
      </c>
      <c r="L22" s="7" t="n">
        <v>120</v>
      </c>
      <c r="M22" s="7" t="n">
        <v>0</v>
      </c>
      <c r="N22" s="9" t="inlineStr">
        <is>
          <t>v1 = GST</t>
        </is>
      </c>
    </row>
    <row r="23">
      <c r="A23" s="6" t="inlineStr">
        <is>
          <t>golden</t>
        </is>
      </c>
      <c r="B23" s="7" t="n">
        <v>1</v>
      </c>
      <c r="C23" s="6" t="inlineStr">
        <is>
          <t>道具</t>
        </is>
      </c>
      <c r="D23" s="7" t="inlineStr">
        <is>
          <t>C</t>
        </is>
      </c>
      <c r="E23" s="7" t="n">
        <v>0</v>
      </c>
      <c r="F23" s="8" t="inlineStr">
        <is>
          <t>神秘箱</t>
        </is>
      </c>
      <c r="G23" s="8" t="inlineStr">
        <is>
          <t>Mystery Box</t>
        </is>
      </c>
      <c r="H23" s="8" t="inlineStr">
        <is>
          <t>Mystery Box</t>
        </is>
      </c>
      <c r="I23" s="8" t="inlineStr">
        <is>
          <t>10% 的对手跑者背着神秘箱，劝退后 GST ×5</t>
        </is>
      </c>
      <c r="J23" s="8" t="inlineStr">
        <is>
          <t>10% of rival runners carry a Mystery Box: GST ×5 when they quit</t>
        </is>
      </c>
      <c r="K23" s="8" t="inlineStr">
        <is>
          <t>10 % des coureurs rivaux portent une Mystery Box : GST ×5 à l’abandon</t>
        </is>
      </c>
      <c r="L23" s="7" t="n">
        <v>0</v>
      </c>
      <c r="M23" s="7" t="n">
        <v>0</v>
      </c>
      <c r="N23" s="9" t="inlineStr">
        <is>
          <t>概率与倍率见全局</t>
        </is>
      </c>
    </row>
    <row r="24">
      <c r="A24" s="6" t="inlineStr">
        <is>
          <t>bank</t>
        </is>
      </c>
      <c r="B24" s="7" t="n">
        <v>1</v>
      </c>
      <c r="C24" s="6" t="inlineStr">
        <is>
          <t>道具</t>
        </is>
      </c>
      <c r="D24" s="7" t="inlineStr">
        <is>
          <t>R</t>
        </is>
      </c>
      <c r="E24" s="7" t="n">
        <v>0</v>
      </c>
      <c r="F24" s="8" t="inlineStr">
        <is>
          <t>GMT 质押</t>
        </is>
      </c>
      <c r="G24" s="8" t="inlineStr">
        <is>
          <t>GMT Staking</t>
        </is>
      </c>
      <c r="H24" s="8" t="inlineStr">
        <is>
          <t>Staking GMT</t>
        </is>
      </c>
      <c r="I24" s="8" t="inlineStr">
        <is>
          <t>每波结束获得当前 GST 10% 的利息（最多 60）</t>
        </is>
      </c>
      <c r="J24" s="8" t="inlineStr">
        <is>
          <t>After each wave, earn 10% interest on your GST (max 60)</t>
        </is>
      </c>
      <c r="K24" s="8" t="inlineStr">
        <is>
          <t>Après chaque vague, 10 % d’intérêts sur ton GST (max 60)</t>
        </is>
      </c>
      <c r="L24" s="7" t="n">
        <v>0</v>
      </c>
      <c r="M24" s="7" t="n">
        <v>0</v>
      </c>
      <c r="N24" s="9" t="inlineStr">
        <is>
          <t>利率与上限见全局</t>
        </is>
      </c>
    </row>
    <row r="25">
      <c r="A25" s="6" t="inlineStr">
        <is>
          <t>pop</t>
        </is>
      </c>
      <c r="B25" s="7" t="n">
        <v>1</v>
      </c>
      <c r="C25" s="6" t="inlineStr">
        <is>
          <t>道具</t>
        </is>
      </c>
      <c r="D25" s="7" t="inlineStr">
        <is>
          <t>R</t>
        </is>
      </c>
      <c r="E25" s="7" t="n">
        <v>0</v>
      </c>
      <c r="F25" s="8" t="inlineStr">
        <is>
          <t>Gas Hero 毒气</t>
        </is>
      </c>
      <c r="G25" s="8" t="inlineStr">
        <is>
          <t>Gas Hero Gas</t>
        </is>
      </c>
      <c r="H25" s="8" t="inlineStr">
        <is>
          <t>Gaz Gas Hero</t>
        </is>
      </c>
      <c r="I25" s="8" t="inlineStr">
        <is>
          <t>跑者退赛时喷出毒气，波及身边跑者，可以连锁</t>
        </is>
      </c>
      <c r="J25" s="8" t="inlineStr">
        <is>
          <t>Runners who quit release gas that hits those nearby, and can chain</t>
        </is>
      </c>
      <c r="K25" s="8" t="inlineStr">
        <is>
          <t>Les coureurs qui abandonnent libèrent un gaz qui touche les voisins, en chaîne</t>
        </is>
      </c>
      <c r="L25" s="7" t="n">
        <v>0</v>
      </c>
      <c r="M25" s="7" t="n">
        <v>0</v>
      </c>
      <c r="N25" s="9" t="inlineStr">
        <is>
          <t>数值见全局</t>
        </is>
      </c>
    </row>
    <row r="26">
      <c r="A26" s="6" t="inlineStr">
        <is>
          <t>cheap</t>
        </is>
      </c>
      <c r="B26" s="7" t="n">
        <v>1</v>
      </c>
      <c r="C26" s="6" t="inlineStr">
        <is>
          <t>道具</t>
        </is>
      </c>
      <c r="D26" s="7" t="inlineStr">
        <is>
          <t>R</t>
        </is>
      </c>
      <c r="E26" s="7" t="n">
        <v>0</v>
      </c>
      <c r="F26" s="8" t="inlineStr">
        <is>
          <t>MOOAR 折扣</t>
        </is>
      </c>
      <c r="G26" s="8" t="inlineStr">
        <is>
          <t>MOOAR Discount</t>
        </is>
      </c>
      <c r="H26" s="8" t="inlineStr">
        <is>
          <t>Remise MOOAR</t>
        </is>
      </c>
      <c r="I26" s="8" t="inlineStr">
        <is>
          <t>放置和升级费用 −20%</t>
        </is>
      </c>
      <c r="J26" s="8" t="inlineStr">
        <is>
          <t>Placing and upgrading −20%</t>
        </is>
      </c>
      <c r="K26" s="8" t="inlineStr">
        <is>
          <t>Placement et améliorations −20 %</t>
        </is>
      </c>
      <c r="L26" s="7" t="n">
        <v>0.8</v>
      </c>
      <c r="M26" s="7" t="n">
        <v>0</v>
      </c>
      <c r="N26" s="9" t="inlineStr">
        <is>
          <t>v1 = 费用倍率</t>
        </is>
      </c>
    </row>
    <row r="27">
      <c r="A27" s="6" t="inlineStr">
        <is>
          <t>maniac</t>
        </is>
      </c>
      <c r="B27" s="7" t="n">
        <v>1</v>
      </c>
      <c r="C27" s="6" t="inlineStr">
        <is>
          <t>道具</t>
        </is>
      </c>
      <c r="D27" s="7" t="inlineStr">
        <is>
          <t>R</t>
        </is>
      </c>
      <c r="E27" s="7" t="n">
        <v>0</v>
      </c>
      <c r="F27" s="8" t="inlineStr">
        <is>
          <t>连续打卡</t>
        </is>
      </c>
      <c r="G27" s="8" t="inlineStr">
        <is>
          <t>Check-in Streak</t>
        </is>
      </c>
      <c r="H27" s="8" t="inlineStr">
        <is>
          <t>Série de check-ins</t>
        </is>
      </c>
      <c r="I27" s="8" t="inlineStr">
        <is>
          <t>燃脂模式所需连续劝退 50 → 30</t>
        </is>
      </c>
      <c r="J27" s="8" t="inlineStr">
        <is>
          <t>Fat-burn mode needs 30 stops instead of 50</t>
        </is>
      </c>
      <c r="K27" s="8" t="inlineStr">
        <is>
          <t>Le mode brûle-graisse demande 30 arrêts au lieu de 50</t>
        </is>
      </c>
      <c r="L27" s="7" t="n">
        <v>30</v>
      </c>
      <c r="M27" s="7" t="n">
        <v>0</v>
      </c>
      <c r="N27" s="9" t="inlineStr">
        <is>
          <t>v1 = 所需连续劝退</t>
        </is>
      </c>
    </row>
    <row r="28">
      <c r="A28" s="6" t="inlineStr">
        <is>
          <t>devil</t>
        </is>
      </c>
      <c r="B28" s="7" t="n">
        <v>1</v>
      </c>
      <c r="C28" s="6" t="inlineStr">
        <is>
          <t>交易</t>
        </is>
      </c>
      <c r="D28" s="7" t="inlineStr">
        <is>
          <t>R</t>
        </is>
      </c>
      <c r="E28" s="7" t="n">
        <v>0</v>
      </c>
      <c r="F28" s="8" t="inlineStr">
        <is>
          <t>GST 借贷</t>
        </is>
      </c>
      <c r="G28" s="8" t="inlineStr">
        <is>
          <t>GST Loan</t>
        </is>
      </c>
      <c r="H28" s="8" t="inlineStr">
        <is>
          <t>Prêt GST</t>
        </is>
      </c>
      <c r="I28" s="8" t="inlineStr">
        <is>
          <t>立即生效：+250 GST；之后对手体力 +15%</t>
        </is>
      </c>
      <c r="J28" s="8" t="inlineStr">
        <is>
          <t>Instant: +250 GST; rivals get +15% stamina from now on</t>
        </is>
      </c>
      <c r="K28" s="8" t="inlineStr">
        <is>
          <t>Immédiat : +250 GST ; les rivaux ont ensuite +15 % d’endurance</t>
        </is>
      </c>
      <c r="L28" s="7" t="n">
        <v>250</v>
      </c>
      <c r="M28" s="7" t="n">
        <v>1.15</v>
      </c>
      <c r="N28" s="9" t="inlineStr">
        <is>
          <t>v1 = GST，v2 = 对手体力倍率</t>
        </is>
      </c>
    </row>
    <row r="29">
      <c r="A29" s="6" t="inlineStr">
        <is>
          <t>glass</t>
        </is>
      </c>
      <c r="B29" s="7" t="n">
        <v>1</v>
      </c>
      <c r="C29" s="6" t="inlineStr">
        <is>
          <t>交易</t>
        </is>
      </c>
      <c r="D29" s="7" t="inlineStr">
        <is>
          <t>R</t>
        </is>
      </c>
      <c r="E29" s="7" t="n">
        <v>0</v>
      </c>
      <c r="F29" s="8" t="inlineStr">
        <is>
          <t>透支生命</t>
        </is>
      </c>
      <c r="G29" s="8" t="inlineStr">
        <is>
          <t>Overdraw Lives</t>
        </is>
      </c>
      <c r="H29" s="8" t="inlineStr">
        <is>
          <t>Vies à découvert</t>
        </is>
      </c>
      <c r="I29" s="8" t="inlineStr">
        <is>
          <t>立即生效：所有装置效果 +40%；生命 −10</t>
        </is>
      </c>
      <c r="J29" s="8" t="inlineStr">
        <is>
          <t>Instant: all devices +40% effect; lives −10</t>
        </is>
      </c>
      <c r="K29" s="8" t="inlineStr">
        <is>
          <t>Immédiat : tous les dispositifs +40 % d’effet ; vies −10</t>
        </is>
      </c>
      <c r="L29" s="7" t="n">
        <v>0.4</v>
      </c>
      <c r="M29" s="7" t="n">
        <v>10</v>
      </c>
      <c r="N29" s="9" t="inlineStr">
        <is>
          <t>v1 = 效果加成，v2 = 扣除生命</t>
        </is>
      </c>
    </row>
    <row r="30">
      <c r="A30" s="6" t="inlineStr">
        <is>
          <t>track</t>
        </is>
      </c>
      <c r="B30" s="7" t="n">
        <v>1</v>
      </c>
      <c r="C30" s="6" t="inlineStr">
        <is>
          <t>交易</t>
        </is>
      </c>
      <c r="D30" s="7" t="inlineStr">
        <is>
          <t>R</t>
        </is>
      </c>
      <c r="E30" s="7" t="n">
        <v>0</v>
      </c>
      <c r="F30" s="8" t="inlineStr">
        <is>
          <t>牛市狂奔</t>
        </is>
      </c>
      <c r="G30" s="8" t="inlineStr">
        <is>
          <t>Bull Run</t>
        </is>
      </c>
      <c r="H30" s="8" t="inlineStr">
        <is>
          <t>Bull run</t>
        </is>
      </c>
      <c r="I30" s="8" t="inlineStr">
        <is>
          <t>立即生效：对手移速 +15%；劝退获得 GST +50%</t>
        </is>
      </c>
      <c r="J30" s="8" t="inlineStr">
        <is>
          <t>Instant: rivals +15% speed; +50% GST per runner stopped</t>
        </is>
      </c>
      <c r="K30" s="8" t="inlineStr">
        <is>
          <t>Immédiat : rivaux +15 % de vitesse ; +50 % de GST par coureur arrêté</t>
        </is>
      </c>
      <c r="L30" s="7" t="n">
        <v>1.15</v>
      </c>
      <c r="M30" s="7" t="n">
        <v>1.5</v>
      </c>
      <c r="N30" s="9" t="inlineStr">
        <is>
          <t>v1 = 对手速度倍率，v2 = GST 倍率</t>
        </is>
      </c>
    </row>
    <row r="31">
      <c r="A31" s="6" t="inlineStr">
        <is>
          <t>twin</t>
        </is>
      </c>
      <c r="B31" s="7" t="n">
        <v>1</v>
      </c>
      <c r="C31" s="6" t="inlineStr">
        <is>
          <t>道具</t>
        </is>
      </c>
      <c r="D31" s="7" t="inlineStr">
        <is>
          <t>L</t>
        </is>
      </c>
      <c r="E31" s="7" t="n">
        <v>0</v>
      </c>
      <c r="F31" s="8" t="inlineStr">
        <is>
          <t>双倍铸造</t>
        </is>
      </c>
      <c r="G31" s="8" t="inlineStr">
        <is>
          <t>Double Mint</t>
        </is>
      </c>
      <c r="H31" s="8" t="inlineStr">
        <is>
          <t>Double mint</t>
        </is>
      </c>
      <c r="I31" s="8" t="inlineStr">
        <is>
          <t>所有装置每次出手有 20% 概率立刻再来一次</t>
        </is>
      </c>
      <c r="J31" s="8" t="inlineStr">
        <is>
          <t>Every device has a 20% chance to act again instantly</t>
        </is>
      </c>
      <c r="K31" s="8" t="inlineStr">
        <is>
          <t>Chaque dispositif a 20 % de chances d’agir à nouveau</t>
        </is>
      </c>
      <c r="L31" s="7" t="n">
        <v>0</v>
      </c>
      <c r="M31" s="7" t="n">
        <v>0</v>
      </c>
      <c r="N31" s="9" t="inlineStr">
        <is>
          <t>概率见全局 twinChance</t>
        </is>
      </c>
    </row>
    <row r="32">
      <c r="A32" s="6" t="inlineStr">
        <is>
          <t>chain</t>
        </is>
      </c>
      <c r="B32" s="7" t="n">
        <v>1</v>
      </c>
      <c r="C32" s="6" t="inlineStr">
        <is>
          <t>道具</t>
        </is>
      </c>
      <c r="D32" s="7" t="inlineStr">
        <is>
          <t>L</t>
        </is>
      </c>
      <c r="E32" s="7" t="n">
        <v>0</v>
      </c>
      <c r="F32" s="8" t="inlineStr">
        <is>
          <t>Gas Hero 连环毒气</t>
        </is>
      </c>
      <c r="G32" s="8" t="inlineStr">
        <is>
          <t>Gas Hero Chain Gas</t>
        </is>
      </c>
      <c r="H32" s="8" t="inlineStr">
        <is>
          <t>Gaz en chaîne Gas Hero</t>
        </is>
      </c>
      <c r="I32" s="8" t="inlineStr">
        <is>
          <t>毒气范围 +50%、效果翻倍</t>
        </is>
      </c>
      <c r="J32" s="8" t="inlineStr">
        <is>
          <t>Gas area +50%, effect doubled</t>
        </is>
      </c>
      <c r="K32" s="8" t="inlineStr">
        <is>
          <t>Zone de gaz +50 %, effet doublé</t>
        </is>
      </c>
      <c r="L32" s="7" t="n">
        <v>0</v>
      </c>
      <c r="M32" s="7" t="n">
        <v>0</v>
      </c>
      <c r="N32" s="9" t="inlineStr">
        <is>
          <t>需先有 Gas Hero 毒气</t>
        </is>
      </c>
    </row>
    <row r="33">
      <c r="A33" s="6" t="inlineStr">
        <is>
          <t>overclock</t>
        </is>
      </c>
      <c r="B33" s="7" t="n">
        <v>1</v>
      </c>
      <c r="C33" s="6" t="inlineStr">
        <is>
          <t>道具</t>
        </is>
      </c>
      <c r="D33" s="7" t="inlineStr">
        <is>
          <t>L</t>
        </is>
      </c>
      <c r="E33" s="7" t="n">
        <v>0</v>
      </c>
      <c r="F33" s="8" t="inlineStr">
        <is>
          <t>马拉松模式</t>
        </is>
      </c>
      <c r="G33" s="8" t="inlineStr">
        <is>
          <t>Marathon Mode</t>
        </is>
      </c>
      <c r="H33" s="8" t="inlineStr">
        <is>
          <t>Mode marathon</t>
        </is>
      </c>
      <c r="I33" s="8" t="inlineStr">
        <is>
          <t>燃脂模式持续 10 秒，出手速度 ×2</t>
        </is>
      </c>
      <c r="J33" s="8" t="inlineStr">
        <is>
          <t>Fat-burn mode lasts 10 s at ×2 speed</t>
        </is>
      </c>
      <c r="K33" s="8" t="inlineStr">
        <is>
          <t>Le mode brûle-graisse dure 10 s à vitesse ×2</t>
        </is>
      </c>
      <c r="L33" s="7" t="n">
        <v>0</v>
      </c>
      <c r="M33" s="7" t="n">
        <v>0</v>
      </c>
      <c r="N33" s="9" t="inlineStr">
        <is>
          <t>数值见全局</t>
        </is>
      </c>
    </row>
    <row r="35">
      <c r="A35"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9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is>
          <t>art/tower.dart.png</t>
        </is>
      </c>
      <c r="F9" s="8" t="inlineStr">
        <is>
          <t>art/tower.dart.json</t>
        </is>
      </c>
      <c r="G9" s="7" t="n">
        <v>44.6</v>
      </c>
      <c r="H9" s="7" t="n">
        <v>46.5</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is>
          <t>art/tower.bomb.png</t>
        </is>
      </c>
      <c r="F10" s="8" t="inlineStr">
        <is>
          <t>art/tower.bomb.json</t>
        </is>
      </c>
      <c r="G10" s="7" t="n">
        <v>44.6</v>
      </c>
      <c r="H10" s="7" t="n">
        <v>46.5</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洒水器：基础造型，面朝右（朝左时游戏自动翻转）。可做动画：idle 待机 + fire 发射（JSON 标出 release 出手帧和 muzzle 出手点）</t>
        </is>
      </c>
      <c r="D11" s="9" t="inlineStr">
        <is>
          <t>P2</t>
        </is>
      </c>
      <c r="E11" s="8" t="inlineStr">
        <is>
          <t>art/tower.frost.png</t>
        </is>
      </c>
      <c r="F11" s="8" t="inlineStr">
        <is>
          <t>art/tower.frost.json</t>
        </is>
      </c>
      <c r="G11" s="7" t="n">
        <v>73.90000000000001</v>
      </c>
      <c r="H11" s="7" t="n">
        <v>50.5</v>
      </c>
      <c r="I11" s="7" t="n">
        <v>0.5</v>
      </c>
      <c r="J11" s="7" t="n">
        <v>0.92</v>
      </c>
      <c r="K11" s="7" t="n">
        <v>1</v>
      </c>
      <c r="L11" s="7" t="n">
        <v>0</v>
      </c>
      <c r="M11" s="7" t="n">
        <v>0</v>
      </c>
      <c r="N11" s="9">
        <f>IF(K11&gt;1,K11*G11*3&amp;" × "&amp;H11*3&amp;"（"&amp;K11&amp;" 帧横排）",G11*3&amp;" × "&amp;H11*3)</f>
        <v/>
      </c>
    </row>
    <row r="12">
      <c r="A12" s="6" t="inlineStr">
        <is>
          <t>tower.sniper</t>
        </is>
      </c>
      <c r="B12" s="9" t="inlineStr">
        <is>
          <t>装置</t>
        </is>
      </c>
      <c r="C12" s="9" t="inlineStr">
        <is>
          <t>鞋盒无人机：基础造型，面朝右（朝左时游戏自动翻转）。可做动画：idle 待机 + fire 发射（JSON 标出 release 出手帧和 muzzle 出手点）</t>
        </is>
      </c>
      <c r="D12" s="9" t="inlineStr">
        <is>
          <t>P2</t>
        </is>
      </c>
      <c r="E12" s="8" t="inlineStr">
        <is>
          <t>art/tower.sniper.png</t>
        </is>
      </c>
      <c r="F12" s="8" t="inlineStr">
        <is>
          <t>art/tower.sniper.json</t>
        </is>
      </c>
      <c r="G12" s="7" t="n">
        <v>48.9</v>
      </c>
      <c r="H12" s="7" t="n">
        <v>40.5</v>
      </c>
      <c r="I12" s="7" t="n">
        <v>0.5</v>
      </c>
      <c r="J12" s="7" t="n">
        <v>0.92</v>
      </c>
      <c r="K12" s="7" t="n">
        <v>1</v>
      </c>
      <c r="L12" s="7" t="n">
        <v>0</v>
      </c>
      <c r="M12" s="7" t="n">
        <v>0</v>
      </c>
      <c r="N12" s="9">
        <f>IF(K12&gt;1,K12*G12*3&amp;" × "&amp;H12*3&amp;"（"&amp;K12&amp;" 帧横排）",G12*3&amp;" × "&amp;H12*3)</f>
        <v/>
      </c>
    </row>
    <row r="13">
      <c r="A13" s="6" t="inlineStr">
        <is>
          <t>tower.tesla</t>
        </is>
      </c>
      <c r="B13" s="9" t="inlineStr">
        <is>
          <t>装置</t>
        </is>
      </c>
      <c r="C13" s="9" t="inlineStr">
        <is>
          <t>广场舞音响：基础造型，面朝右（朝左时游戏自动翻转）。可做动画：idle 待机 + fire 发射（JSON 标出 release 出手帧和 muzzle 出手点）</t>
        </is>
      </c>
      <c r="D13" s="9" t="inlineStr">
        <is>
          <t>P2</t>
        </is>
      </c>
      <c r="E13" s="8" t="inlineStr">
        <is>
          <t>art/tower.tesla.png</t>
        </is>
      </c>
      <c r="F13" s="8" t="inlineStr">
        <is>
          <t>art/tower.tesla.json</t>
        </is>
      </c>
      <c r="G13" s="7" t="n">
        <v>62.3</v>
      </c>
      <c r="H13" s="7" t="n">
        <v>55.5</v>
      </c>
      <c r="I13" s="7" t="n">
        <v>0.5</v>
      </c>
      <c r="J13" s="7" t="n">
        <v>0.92</v>
      </c>
      <c r="K13" s="7" t="n">
        <v>1</v>
      </c>
      <c r="L13" s="7" t="n">
        <v>0</v>
      </c>
      <c r="M13" s="7" t="n">
        <v>0</v>
      </c>
      <c r="N13" s="9">
        <f>IF(K13&gt;1,K13*G13*3&amp;" × "&amp;H13*3&amp;"（"&amp;K13&amp;" 帧横排）",G13*3&amp;" × "&amp;H13*3)</f>
        <v/>
      </c>
    </row>
    <row r="14">
      <c r="A14" s="6" t="inlineStr">
        <is>
          <t>tower.lure</t>
        </is>
      </c>
      <c r="B14" s="9" t="inlineStr">
        <is>
          <t>装置</t>
        </is>
      </c>
      <c r="C14" s="9" t="inlineStr">
        <is>
          <t>休闲诱惑站：基础造型，面朝右（朝左时游戏自动翻转）。可做动画：idle 待机 + fire 发射（JSON 标出 release 出手帧和 muzzle 出手点）</t>
        </is>
      </c>
      <c r="D14" s="9" t="inlineStr">
        <is>
          <t>P2</t>
        </is>
      </c>
      <c r="E14" s="8" t="inlineStr"/>
      <c r="F14" s="8" t="inlineStr"/>
      <c r="G14" s="7" t="n">
        <v>40</v>
      </c>
      <c r="H14" s="7" t="n">
        <v>50</v>
      </c>
      <c r="I14" s="7" t="n">
        <v>0.5</v>
      </c>
      <c r="J14" s="7" t="n">
        <v>0.92</v>
      </c>
      <c r="K14" s="7" t="n">
        <v>1</v>
      </c>
      <c r="L14" s="7" t="n">
        <v>0</v>
      </c>
      <c r="M14" s="7" t="n">
        <v>0</v>
      </c>
      <c r="N14" s="9">
        <f>IF(K14&gt;1,K14*G14*3&amp;" × "&amp;H14*3&amp;"（"&amp;K14&amp;" 帧横排）",G14*3&amp;" × "&amp;H14*3)</f>
        <v/>
      </c>
    </row>
    <row r="15">
      <c r="A15" s="6" t="inlineStr">
        <is>
          <t>tower.miner</t>
        </is>
      </c>
      <c r="B15" s="9" t="inlineStr">
        <is>
          <t>装置</t>
        </is>
      </c>
      <c r="C15" s="9" t="inlineStr">
        <is>
          <t>矿机：基础造型，面朝右（朝左时游戏自动翻转）。可做动画：idle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tower.dart.A3</t>
        </is>
      </c>
      <c r="B16" s="9" t="inlineStr">
        <is>
          <t>装置变种</t>
        </is>
      </c>
      <c r="C16" s="9" t="inlineStr">
        <is>
          <t>易拉罐投手「重罐点名」主路线 3 级起的造型（A3；没有 A4、A5 时沿用 A3）</t>
        </is>
      </c>
      <c r="D16" s="9" t="inlineStr">
        <is>
          <t>P2</t>
        </is>
      </c>
      <c r="E16" s="8" t="inlineStr">
        <is>
          <t>art/tower.dart.A3.png</t>
        </is>
      </c>
      <c r="F16" s="8" t="inlineStr">
        <is>
          <t>art/tower.dart.A3.json</t>
        </is>
      </c>
      <c r="G16" s="7" t="n">
        <v>44.6</v>
      </c>
      <c r="H16" s="7" t="n">
        <v>46.5</v>
      </c>
      <c r="I16" s="7" t="n">
        <v>0.5</v>
      </c>
      <c r="J16" s="7" t="n">
        <v>0.92</v>
      </c>
      <c r="K16" s="7" t="n">
        <v>1</v>
      </c>
      <c r="L16" s="7" t="n">
        <v>0</v>
      </c>
      <c r="M16" s="7" t="n">
        <v>0</v>
      </c>
      <c r="N16" s="9">
        <f>IF(K16&gt;1,K16*G16*3&amp;" × "&amp;H16*3&amp;"（"&amp;K16&amp;" 帧横排）",G16*3&amp;" × "&amp;H16*3)</f>
        <v/>
      </c>
    </row>
    <row r="17">
      <c r="A17" s="6" t="inlineStr">
        <is>
          <t>tower.dart.A6</t>
        </is>
      </c>
      <c r="B17" s="9" t="inlineStr">
        <is>
          <t>装置变种</t>
        </is>
      </c>
      <c r="C17" s="9" t="inlineStr">
        <is>
          <t>易拉罐投手「重罐点名」主路线 6 级起的造型（A6；没有 A4、A5 时沿用 A3）</t>
        </is>
      </c>
      <c r="D17" s="9" t="inlineStr">
        <is>
          <t>P3</t>
        </is>
      </c>
      <c r="E17" s="8" t="inlineStr">
        <is>
          <t>art/tower.dart.A6.png</t>
        </is>
      </c>
      <c r="F17" s="8" t="inlineStr">
        <is>
          <t>art/tower.dart.A6.json</t>
        </is>
      </c>
      <c r="G17" s="7" t="n">
        <v>62.8</v>
      </c>
      <c r="H17" s="7" t="n">
        <v>67.2</v>
      </c>
      <c r="I17" s="7" t="n">
        <v>0.5</v>
      </c>
      <c r="J17" s="7" t="n">
        <v>0.92</v>
      </c>
      <c r="K17" s="7" t="n">
        <v>1</v>
      </c>
      <c r="L17" s="7" t="n">
        <v>0</v>
      </c>
      <c r="M17" s="7" t="n">
        <v>0</v>
      </c>
      <c r="N17" s="9">
        <f>IF(K17&gt;1,K17*G17*3&amp;" × "&amp;H17*3&amp;"（"&amp;K17&amp;" 帧横排）",G17*3&amp;" × "&amp;H17*3)</f>
        <v/>
      </c>
    </row>
    <row r="18">
      <c r="A18" s="6" t="inlineStr">
        <is>
          <t>tower.dart.B3</t>
        </is>
      </c>
      <c r="B18" s="9" t="inlineStr">
        <is>
          <t>装置变种</t>
        </is>
      </c>
      <c r="C18" s="9" t="inlineStr">
        <is>
          <t>易拉罐投手「连罐速投」主路线 3 级起的造型（B3；没有 B4、B5 时沿用 B3）</t>
        </is>
      </c>
      <c r="D18" s="9" t="inlineStr">
        <is>
          <t>P2</t>
        </is>
      </c>
      <c r="E18" s="8" t="inlineStr"/>
      <c r="F18" s="8" t="inlineStr"/>
      <c r="G18" s="7" t="n">
        <v>44</v>
      </c>
      <c r="H18" s="7" t="n">
        <v>54</v>
      </c>
      <c r="I18" s="7" t="n">
        <v>0.5</v>
      </c>
      <c r="J18" s="7" t="n">
        <v>0.92</v>
      </c>
      <c r="K18" s="7" t="n">
        <v>1</v>
      </c>
      <c r="L18" s="7" t="n">
        <v>0</v>
      </c>
      <c r="M18" s="7" t="n">
        <v>0</v>
      </c>
      <c r="N18" s="9">
        <f>IF(K18&gt;1,K18*G18*3&amp;" × "&amp;H18*3&amp;"（"&amp;K18&amp;" 帧横排）",G18*3&amp;" × "&amp;H18*3)</f>
        <v/>
      </c>
    </row>
    <row r="19">
      <c r="A19" s="6" t="inlineStr">
        <is>
          <t>tower.dart.B6</t>
        </is>
      </c>
      <c r="B19" s="9" t="inlineStr">
        <is>
          <t>装置变种</t>
        </is>
      </c>
      <c r="C19" s="9" t="inlineStr">
        <is>
          <t>易拉罐投手「连罐速投」主路线 6 级起的造型（B6；没有 B4、B5 时沿用 B3）</t>
        </is>
      </c>
      <c r="D19" s="9" t="inlineStr">
        <is>
          <t>P3</t>
        </is>
      </c>
      <c r="E19" s="8" t="inlineStr"/>
      <c r="F19" s="8" t="inlineStr"/>
      <c r="G19" s="7" t="n">
        <v>48</v>
      </c>
      <c r="H19" s="7" t="n">
        <v>58</v>
      </c>
      <c r="I19" s="7" t="n">
        <v>0.5</v>
      </c>
      <c r="J19" s="7" t="n">
        <v>0.92</v>
      </c>
      <c r="K19" s="7" t="n">
        <v>1</v>
      </c>
      <c r="L19" s="7" t="n">
        <v>0</v>
      </c>
      <c r="M19" s="7" t="n">
        <v>0</v>
      </c>
      <c r="N19" s="9">
        <f>IF(K19&gt;1,K19*G19*3&amp;" × "&amp;H19*3&amp;"（"&amp;K19&amp;" 帧横排）",G19*3&amp;" × "&amp;H19*3)</f>
        <v/>
      </c>
    </row>
    <row r="20">
      <c r="A20" s="6" t="inlineStr">
        <is>
          <t>tower.dart.C3</t>
        </is>
      </c>
      <c r="B20" s="9" t="inlineStr">
        <is>
          <t>装置变种</t>
        </is>
      </c>
      <c r="C20" s="9" t="inlineStr">
        <is>
          <t>易拉罐投手「弱点点名」主路线 3 级起的造型（C3；没有 C4、C5 时沿用 C3）</t>
        </is>
      </c>
      <c r="D20" s="9" t="inlineStr">
        <is>
          <t>P2</t>
        </is>
      </c>
      <c r="E20" s="8" t="inlineStr"/>
      <c r="F20" s="8" t="inlineStr"/>
      <c r="G20" s="7" t="n">
        <v>44</v>
      </c>
      <c r="H20" s="7" t="n">
        <v>54</v>
      </c>
      <c r="I20" s="7" t="n">
        <v>0.5</v>
      </c>
      <c r="J20" s="7" t="n">
        <v>0.92</v>
      </c>
      <c r="K20" s="7" t="n">
        <v>1</v>
      </c>
      <c r="L20" s="7" t="n">
        <v>0</v>
      </c>
      <c r="M20" s="7" t="n">
        <v>0</v>
      </c>
      <c r="N20" s="9">
        <f>IF(K20&gt;1,K20*G20*3&amp;" × "&amp;H20*3&amp;"（"&amp;K20&amp;" 帧横排）",G20*3&amp;" × "&amp;H20*3)</f>
        <v/>
      </c>
    </row>
    <row r="21">
      <c r="A21" s="6" t="inlineStr">
        <is>
          <t>tower.dart.C6</t>
        </is>
      </c>
      <c r="B21" s="9" t="inlineStr">
        <is>
          <t>装置变种</t>
        </is>
      </c>
      <c r="C21" s="9" t="inlineStr">
        <is>
          <t>易拉罐投手「弱点点名」主路线 6 级起的造型（C6；没有 C4、C5 时沿用 C3）</t>
        </is>
      </c>
      <c r="D21" s="9" t="inlineStr">
        <is>
          <t>P3</t>
        </is>
      </c>
      <c r="E21" s="8" t="inlineStr"/>
      <c r="F21" s="8" t="inlineStr"/>
      <c r="G21" s="7" t="n">
        <v>48</v>
      </c>
      <c r="H21" s="7" t="n">
        <v>58</v>
      </c>
      <c r="I21" s="7" t="n">
        <v>0.5</v>
      </c>
      <c r="J21" s="7" t="n">
        <v>0.92</v>
      </c>
      <c r="K21" s="7" t="n">
        <v>1</v>
      </c>
      <c r="L21" s="7" t="n">
        <v>0</v>
      </c>
      <c r="M21" s="7" t="n">
        <v>0</v>
      </c>
      <c r="N21" s="9">
        <f>IF(K21&gt;1,K21*G21*3&amp;" × "&amp;H21*3&amp;"（"&amp;K21&amp;" 帧横排）",G21*3&amp;" × "&amp;H21*3)</f>
        <v/>
      </c>
    </row>
    <row r="22">
      <c r="A22" s="6" t="inlineStr">
        <is>
          <t>tower.bomb.A3</t>
        </is>
      </c>
      <c r="B22" s="9" t="inlineStr">
        <is>
          <t>装置变种</t>
        </is>
      </c>
      <c r="C22" s="9" t="inlineStr">
        <is>
          <t>香蕉皮投手「大片撒皮」主路线 3 级起的造型（A3；没有 A4、A5 时沿用 A3）</t>
        </is>
      </c>
      <c r="D22" s="9" t="inlineStr">
        <is>
          <t>P2</t>
        </is>
      </c>
      <c r="E22" s="8" t="inlineStr"/>
      <c r="F22" s="8" t="inlineStr"/>
      <c r="G22" s="7" t="n">
        <v>44</v>
      </c>
      <c r="H22" s="7" t="n">
        <v>54</v>
      </c>
      <c r="I22" s="7" t="n">
        <v>0.5</v>
      </c>
      <c r="J22" s="7" t="n">
        <v>0.92</v>
      </c>
      <c r="K22" s="7" t="n">
        <v>1</v>
      </c>
      <c r="L22" s="7" t="n">
        <v>0</v>
      </c>
      <c r="M22" s="7" t="n">
        <v>0</v>
      </c>
      <c r="N22" s="9">
        <f>IF(K22&gt;1,K22*G22*3&amp;" × "&amp;H22*3&amp;"（"&amp;K22&amp;" 帧横排）",G22*3&amp;" × "&amp;H22*3)</f>
        <v/>
      </c>
    </row>
    <row r="23">
      <c r="A23" s="6" t="inlineStr">
        <is>
          <t>tower.bomb.A6</t>
        </is>
      </c>
      <c r="B23" s="9" t="inlineStr">
        <is>
          <t>装置变种</t>
        </is>
      </c>
      <c r="C23" s="9" t="inlineStr">
        <is>
          <t>香蕉皮投手「大片撒皮」主路线 6 级起的造型（A6；没有 A4、A5 时沿用 A3）</t>
        </is>
      </c>
      <c r="D23" s="9" t="inlineStr">
        <is>
          <t>P3</t>
        </is>
      </c>
      <c r="E23" s="8" t="inlineStr"/>
      <c r="F23" s="8" t="inlineStr"/>
      <c r="G23" s="7" t="n">
        <v>48</v>
      </c>
      <c r="H23" s="7" t="n">
        <v>58</v>
      </c>
      <c r="I23" s="7" t="n">
        <v>0.5</v>
      </c>
      <c r="J23" s="7" t="n">
        <v>0.92</v>
      </c>
      <c r="K23" s="7" t="n">
        <v>1</v>
      </c>
      <c r="L23" s="7" t="n">
        <v>0</v>
      </c>
      <c r="M23" s="7" t="n">
        <v>0</v>
      </c>
      <c r="N23" s="9">
        <f>IF(K23&gt;1,K23*G23*3&amp;" × "&amp;H23*3&amp;"（"&amp;K23&amp;" 帧横排）",G23*3&amp;" × "&amp;H23*3)</f>
        <v/>
      </c>
    </row>
    <row r="24">
      <c r="A24" s="6" t="inlineStr">
        <is>
          <t>tower.bomb.B3</t>
        </is>
      </c>
      <c r="B24" s="9" t="inlineStr">
        <is>
          <t>装置变种</t>
        </is>
      </c>
      <c r="C24" s="9" t="inlineStr">
        <is>
          <t>香蕉皮投手「滑行连撞」主路线 3 级起的造型（B3；没有 B4、B5 时沿用 B3）</t>
        </is>
      </c>
      <c r="D24" s="9" t="inlineStr">
        <is>
          <t>P2</t>
        </is>
      </c>
      <c r="E24" s="8" t="inlineStr"/>
      <c r="F24" s="8" t="inlineStr"/>
      <c r="G24" s="7" t="n">
        <v>44</v>
      </c>
      <c r="H24" s="7" t="n">
        <v>54</v>
      </c>
      <c r="I24" s="7" t="n">
        <v>0.5</v>
      </c>
      <c r="J24" s="7" t="n">
        <v>0.92</v>
      </c>
      <c r="K24" s="7" t="n">
        <v>1</v>
      </c>
      <c r="L24" s="7" t="n">
        <v>0</v>
      </c>
      <c r="M24" s="7" t="n">
        <v>0</v>
      </c>
      <c r="N24" s="9">
        <f>IF(K24&gt;1,K24*G24*3&amp;" × "&amp;H24*3&amp;"（"&amp;K24&amp;" 帧横排）",G24*3&amp;" × "&amp;H24*3)</f>
        <v/>
      </c>
    </row>
    <row r="25">
      <c r="A25" s="6" t="inlineStr">
        <is>
          <t>tower.bomb.B6</t>
        </is>
      </c>
      <c r="B25" s="9" t="inlineStr">
        <is>
          <t>装置变种</t>
        </is>
      </c>
      <c r="C25" s="9" t="inlineStr">
        <is>
          <t>香蕉皮投手「滑行连撞」主路线 6 级起的造型（B6；没有 B4、B5 时沿用 B3）</t>
        </is>
      </c>
      <c r="D25" s="9" t="inlineStr">
        <is>
          <t>P3</t>
        </is>
      </c>
      <c r="E25" s="8" t="inlineStr"/>
      <c r="F25" s="8" t="inlineStr"/>
      <c r="G25" s="7" t="n">
        <v>48</v>
      </c>
      <c r="H25" s="7" t="n">
        <v>58</v>
      </c>
      <c r="I25" s="7" t="n">
        <v>0.5</v>
      </c>
      <c r="J25" s="7" t="n">
        <v>0.92</v>
      </c>
      <c r="K25" s="7" t="n">
        <v>1</v>
      </c>
      <c r="L25" s="7" t="n">
        <v>0</v>
      </c>
      <c r="M25" s="7" t="n">
        <v>0</v>
      </c>
      <c r="N25" s="9">
        <f>IF(K25&gt;1,K25*G25*3&amp;" × "&amp;H25*3&amp;"（"&amp;K25&amp;" 帧横排）",G25*3&amp;" × "&amp;H25*3)</f>
        <v/>
      </c>
    </row>
    <row r="26">
      <c r="A26" s="6" t="inlineStr">
        <is>
          <t>tower.bomb.C3</t>
        </is>
      </c>
      <c r="B26" s="9" t="inlineStr">
        <is>
          <t>装置变种</t>
        </is>
      </c>
      <c r="C26" s="9" t="inlineStr">
        <is>
          <t>香蕉皮投手「预埋皮阵」主路线 3 级起的造型（C3；没有 C4、C5 时沿用 C3）</t>
        </is>
      </c>
      <c r="D26" s="9" t="inlineStr">
        <is>
          <t>P2</t>
        </is>
      </c>
      <c r="E26" s="8" t="inlineStr"/>
      <c r="F26" s="8" t="inlineStr"/>
      <c r="G26" s="7" t="n">
        <v>44</v>
      </c>
      <c r="H26" s="7" t="n">
        <v>54</v>
      </c>
      <c r="I26" s="7" t="n">
        <v>0.5</v>
      </c>
      <c r="J26" s="7" t="n">
        <v>0.92</v>
      </c>
      <c r="K26" s="7" t="n">
        <v>1</v>
      </c>
      <c r="L26" s="7" t="n">
        <v>0</v>
      </c>
      <c r="M26" s="7" t="n">
        <v>0</v>
      </c>
      <c r="N26" s="9">
        <f>IF(K26&gt;1,K26*G26*3&amp;" × "&amp;H26*3&amp;"（"&amp;K26&amp;" 帧横排）",G26*3&amp;" × "&amp;H26*3)</f>
        <v/>
      </c>
    </row>
    <row r="27">
      <c r="A27" s="6" t="inlineStr">
        <is>
          <t>tower.bomb.C6</t>
        </is>
      </c>
      <c r="B27" s="9" t="inlineStr">
        <is>
          <t>装置变种</t>
        </is>
      </c>
      <c r="C27" s="9" t="inlineStr">
        <is>
          <t>香蕉皮投手「预埋皮阵」主路线 6 级起的造型（C6；没有 C4、C5 时沿用 C3）</t>
        </is>
      </c>
      <c r="D27" s="9" t="inlineStr">
        <is>
          <t>P3</t>
        </is>
      </c>
      <c r="E27" s="8" t="inlineStr"/>
      <c r="F27" s="8" t="inlineStr"/>
      <c r="G27" s="7" t="n">
        <v>48</v>
      </c>
      <c r="H27" s="7" t="n">
        <v>58</v>
      </c>
      <c r="I27" s="7" t="n">
        <v>0.5</v>
      </c>
      <c r="J27" s="7" t="n">
        <v>0.92</v>
      </c>
      <c r="K27" s="7" t="n">
        <v>1</v>
      </c>
      <c r="L27" s="7" t="n">
        <v>0</v>
      </c>
      <c r="M27" s="7" t="n">
        <v>0</v>
      </c>
      <c r="N27" s="9">
        <f>IF(K27&gt;1,K27*G27*3&amp;" × "&amp;H27*3&amp;"（"&amp;K27&amp;" 帧横排）",G27*3&amp;" × "&amp;H27*3)</f>
        <v/>
      </c>
    </row>
    <row r="28">
      <c r="A28" s="6" t="inlineStr">
        <is>
          <t>tower.frost.A3</t>
        </is>
      </c>
      <c r="B28" s="9" t="inlineStr">
        <is>
          <t>装置变种</t>
        </is>
      </c>
      <c r="C28" s="9" t="inlineStr">
        <is>
          <t>洒水器「喷淋湿地」主路线 3 级起的造型（A3；没有 A4、A5 时沿用 A3）</t>
        </is>
      </c>
      <c r="D28" s="9" t="inlineStr">
        <is>
          <t>P2</t>
        </is>
      </c>
      <c r="E28" s="8" t="inlineStr"/>
      <c r="F28" s="8" t="inlineStr"/>
      <c r="G28" s="7" t="n">
        <v>44</v>
      </c>
      <c r="H28" s="7" t="n">
        <v>54</v>
      </c>
      <c r="I28" s="7" t="n">
        <v>0.5</v>
      </c>
      <c r="J28" s="7" t="n">
        <v>0.92</v>
      </c>
      <c r="K28" s="7" t="n">
        <v>1</v>
      </c>
      <c r="L28" s="7" t="n">
        <v>0</v>
      </c>
      <c r="M28" s="7" t="n">
        <v>0</v>
      </c>
      <c r="N28" s="9">
        <f>IF(K28&gt;1,K28*G28*3&amp;" × "&amp;H28*3&amp;"（"&amp;K28&amp;" 帧横排）",G28*3&amp;" × "&amp;H28*3)</f>
        <v/>
      </c>
    </row>
    <row r="29">
      <c r="A29" s="6" t="inlineStr">
        <is>
          <t>tower.frost.A6</t>
        </is>
      </c>
      <c r="B29" s="9" t="inlineStr">
        <is>
          <t>装置变种</t>
        </is>
      </c>
      <c r="C29" s="9" t="inlineStr">
        <is>
          <t>洒水器「喷淋湿地」主路线 6 级起的造型（A6；没有 A4、A5 时沿用 A3）</t>
        </is>
      </c>
      <c r="D29" s="9" t="inlineStr">
        <is>
          <t>P3</t>
        </is>
      </c>
      <c r="E29" s="8" t="inlineStr"/>
      <c r="F29" s="8" t="inlineStr"/>
      <c r="G29" s="7" t="n">
        <v>48</v>
      </c>
      <c r="H29" s="7" t="n">
        <v>58</v>
      </c>
      <c r="I29" s="7" t="n">
        <v>0.5</v>
      </c>
      <c r="J29" s="7" t="n">
        <v>0.92</v>
      </c>
      <c r="K29" s="7" t="n">
        <v>1</v>
      </c>
      <c r="L29" s="7" t="n">
        <v>0</v>
      </c>
      <c r="M29" s="7" t="n">
        <v>0</v>
      </c>
      <c r="N29" s="9">
        <f>IF(K29&gt;1,K29*G29*3&amp;" × "&amp;H29*3&amp;"（"&amp;K29&amp;" 帧横排）",G29*3&amp;" × "&amp;H29*3)</f>
        <v/>
      </c>
    </row>
    <row r="30">
      <c r="A30" s="6" t="inlineStr">
        <is>
          <t>tower.frost.B3</t>
        </is>
      </c>
      <c r="B30" s="9" t="inlineStr">
        <is>
          <t>装置变种</t>
        </is>
      </c>
      <c r="C30" s="9" t="inlineStr">
        <is>
          <t>洒水器「寒霜喷头」主路线 3 级起的造型（B3；没有 B4、B5 时沿用 B3）</t>
        </is>
      </c>
      <c r="D30" s="9" t="inlineStr">
        <is>
          <t>P2</t>
        </is>
      </c>
      <c r="E30" s="8" t="inlineStr"/>
      <c r="F30" s="8" t="inlineStr"/>
      <c r="G30" s="7" t="n">
        <v>44</v>
      </c>
      <c r="H30" s="7" t="n">
        <v>54</v>
      </c>
      <c r="I30" s="7" t="n">
        <v>0.5</v>
      </c>
      <c r="J30" s="7" t="n">
        <v>0.92</v>
      </c>
      <c r="K30" s="7" t="n">
        <v>1</v>
      </c>
      <c r="L30" s="7" t="n">
        <v>0</v>
      </c>
      <c r="M30" s="7" t="n">
        <v>0</v>
      </c>
      <c r="N30" s="9">
        <f>IF(K30&gt;1,K30*G30*3&amp;" × "&amp;H30*3&amp;"（"&amp;K30&amp;" 帧横排）",G30*3&amp;" × "&amp;H30*3)</f>
        <v/>
      </c>
    </row>
    <row r="31">
      <c r="A31" s="6" t="inlineStr">
        <is>
          <t>tower.frost.B6</t>
        </is>
      </c>
      <c r="B31" s="9" t="inlineStr">
        <is>
          <t>装置变种</t>
        </is>
      </c>
      <c r="C31" s="9" t="inlineStr">
        <is>
          <t>洒水器「寒霜喷头」主路线 6 级起的造型（B6；没有 B4、B5 时沿用 B3）</t>
        </is>
      </c>
      <c r="D31" s="9" t="inlineStr">
        <is>
          <t>P3</t>
        </is>
      </c>
      <c r="E31" s="8" t="inlineStr"/>
      <c r="F31" s="8" t="inlineStr"/>
      <c r="G31" s="7" t="n">
        <v>48</v>
      </c>
      <c r="H31" s="7" t="n">
        <v>58</v>
      </c>
      <c r="I31" s="7" t="n">
        <v>0.5</v>
      </c>
      <c r="J31" s="7" t="n">
        <v>0.92</v>
      </c>
      <c r="K31" s="7" t="n">
        <v>1</v>
      </c>
      <c r="L31" s="7" t="n">
        <v>0</v>
      </c>
      <c r="M31" s="7" t="n">
        <v>0</v>
      </c>
      <c r="N31" s="9">
        <f>IF(K31&gt;1,K31*G31*3&amp;" × "&amp;H31*3&amp;"（"&amp;K31&amp;" 帧横排）",G31*3&amp;" × "&amp;H31*3)</f>
        <v/>
      </c>
    </row>
    <row r="32">
      <c r="A32" s="6" t="inlineStr">
        <is>
          <t>tower.frost.C3</t>
        </is>
      </c>
      <c r="B32" s="9" t="inlineStr">
        <is>
          <t>装置变种</t>
        </is>
      </c>
      <c r="C32" s="9" t="inlineStr">
        <is>
          <t>洒水器「高压水柱」主路线 3 级起的造型（C3；没有 C4、C5 时沿用 C3）</t>
        </is>
      </c>
      <c r="D32" s="9" t="inlineStr">
        <is>
          <t>P2</t>
        </is>
      </c>
      <c r="E32" s="8" t="inlineStr"/>
      <c r="F32" s="8" t="inlineStr"/>
      <c r="G32" s="7" t="n">
        <v>44</v>
      </c>
      <c r="H32" s="7" t="n">
        <v>54</v>
      </c>
      <c r="I32" s="7" t="n">
        <v>0.5</v>
      </c>
      <c r="J32" s="7" t="n">
        <v>0.92</v>
      </c>
      <c r="K32" s="7" t="n">
        <v>1</v>
      </c>
      <c r="L32" s="7" t="n">
        <v>0</v>
      </c>
      <c r="M32" s="7" t="n">
        <v>0</v>
      </c>
      <c r="N32" s="9">
        <f>IF(K32&gt;1,K32*G32*3&amp;" × "&amp;H32*3&amp;"（"&amp;K32&amp;" 帧横排）",G32*3&amp;" × "&amp;H32*3)</f>
        <v/>
      </c>
    </row>
    <row r="33">
      <c r="A33" s="6" t="inlineStr">
        <is>
          <t>tower.frost.C6</t>
        </is>
      </c>
      <c r="B33" s="9" t="inlineStr">
        <is>
          <t>装置变种</t>
        </is>
      </c>
      <c r="C33" s="9" t="inlineStr">
        <is>
          <t>洒水器「高压水柱」主路线 6 级起的造型（C6；没有 C4、C5 时沿用 C3）</t>
        </is>
      </c>
      <c r="D33" s="9" t="inlineStr">
        <is>
          <t>P3</t>
        </is>
      </c>
      <c r="E33" s="8" t="inlineStr"/>
      <c r="F33" s="8" t="inlineStr"/>
      <c r="G33" s="7" t="n">
        <v>48</v>
      </c>
      <c r="H33" s="7" t="n">
        <v>58</v>
      </c>
      <c r="I33" s="7" t="n">
        <v>0.5</v>
      </c>
      <c r="J33" s="7" t="n">
        <v>0.92</v>
      </c>
      <c r="K33" s="7" t="n">
        <v>1</v>
      </c>
      <c r="L33" s="7" t="n">
        <v>0</v>
      </c>
      <c r="M33" s="7" t="n">
        <v>0</v>
      </c>
      <c r="N33" s="9">
        <f>IF(K33&gt;1,K33*G33*3&amp;" × "&amp;H33*3&amp;"（"&amp;K33&amp;" 帧横排）",G33*3&amp;" × "&amp;H33*3)</f>
        <v/>
      </c>
    </row>
    <row r="34">
      <c r="A34" s="6" t="inlineStr">
        <is>
          <t>tower.sniper.A3</t>
        </is>
      </c>
      <c r="B34" s="9" t="inlineStr">
        <is>
          <t>装置变种</t>
        </is>
      </c>
      <c r="C34" s="9" t="inlineStr">
        <is>
          <t>鞋盒无人机「精准重箱」主路线 3 级起的造型（A3；没有 A4、A5 时沿用 A3）</t>
        </is>
      </c>
      <c r="D34" s="9" t="inlineStr">
        <is>
          <t>P2</t>
        </is>
      </c>
      <c r="E34" s="8" t="inlineStr"/>
      <c r="F34" s="8" t="inlineStr"/>
      <c r="G34" s="7" t="n">
        <v>44</v>
      </c>
      <c r="H34" s="7" t="n">
        <v>54</v>
      </c>
      <c r="I34" s="7" t="n">
        <v>0.5</v>
      </c>
      <c r="J34" s="7" t="n">
        <v>0.92</v>
      </c>
      <c r="K34" s="7" t="n">
        <v>1</v>
      </c>
      <c r="L34" s="7" t="n">
        <v>0</v>
      </c>
      <c r="M34" s="7" t="n">
        <v>0</v>
      </c>
      <c r="N34" s="9">
        <f>IF(K34&gt;1,K34*G34*3&amp;" × "&amp;H34*3&amp;"（"&amp;K34&amp;" 帧横排）",G34*3&amp;" × "&amp;H34*3)</f>
        <v/>
      </c>
    </row>
    <row r="35">
      <c r="A35" s="6" t="inlineStr">
        <is>
          <t>tower.sniper.A6</t>
        </is>
      </c>
      <c r="B35" s="9" t="inlineStr">
        <is>
          <t>装置变种</t>
        </is>
      </c>
      <c r="C35" s="9" t="inlineStr">
        <is>
          <t>鞋盒无人机「精准重箱」主路线 6 级起的造型（A6；没有 A4、A5 时沿用 A3）</t>
        </is>
      </c>
      <c r="D35" s="9" t="inlineStr">
        <is>
          <t>P3</t>
        </is>
      </c>
      <c r="E35" s="8" t="inlineStr"/>
      <c r="F35" s="8" t="inlineStr"/>
      <c r="G35" s="7" t="n">
        <v>48</v>
      </c>
      <c r="H35" s="7" t="n">
        <v>58</v>
      </c>
      <c r="I35" s="7" t="n">
        <v>0.5</v>
      </c>
      <c r="J35" s="7" t="n">
        <v>0.92</v>
      </c>
      <c r="K35" s="7" t="n">
        <v>1</v>
      </c>
      <c r="L35" s="7" t="n">
        <v>0</v>
      </c>
      <c r="M35" s="7" t="n">
        <v>0</v>
      </c>
      <c r="N35" s="9">
        <f>IF(K35&gt;1,K35*G35*3&amp;" × "&amp;H35*3&amp;"（"&amp;K35&amp;" 帧横排）",G35*3&amp;" × "&amp;H35*3)</f>
        <v/>
      </c>
    </row>
    <row r="36">
      <c r="A36" s="6" t="inlineStr">
        <is>
          <t>tower.sniper.B3</t>
        </is>
      </c>
      <c r="B36" s="9" t="inlineStr">
        <is>
          <t>装置变种</t>
        </is>
      </c>
      <c r="C36" s="9" t="inlineStr">
        <is>
          <t>鞋盒无人机「批量配送」主路线 3 级起的造型（B3；没有 B4、B5 时沿用 B3）</t>
        </is>
      </c>
      <c r="D36" s="9" t="inlineStr">
        <is>
          <t>P2</t>
        </is>
      </c>
      <c r="E36" s="8" t="inlineStr"/>
      <c r="F36" s="8" t="inlineStr"/>
      <c r="G36" s="7" t="n">
        <v>44</v>
      </c>
      <c r="H36" s="7" t="n">
        <v>54</v>
      </c>
      <c r="I36" s="7" t="n">
        <v>0.5</v>
      </c>
      <c r="J36" s="7" t="n">
        <v>0.92</v>
      </c>
      <c r="K36" s="7" t="n">
        <v>1</v>
      </c>
      <c r="L36" s="7" t="n">
        <v>0</v>
      </c>
      <c r="M36" s="7" t="n">
        <v>0</v>
      </c>
      <c r="N36" s="9">
        <f>IF(K36&gt;1,K36*G36*3&amp;" × "&amp;H36*3&amp;"（"&amp;K36&amp;" 帧横排）",G36*3&amp;" × "&amp;H36*3)</f>
        <v/>
      </c>
    </row>
    <row r="37">
      <c r="A37" s="6" t="inlineStr">
        <is>
          <t>tower.sniper.B6</t>
        </is>
      </c>
      <c r="B37" s="9" t="inlineStr">
        <is>
          <t>装置变种</t>
        </is>
      </c>
      <c r="C37" s="9" t="inlineStr">
        <is>
          <t>鞋盒无人机「批量配送」主路线 6 级起的造型（B6；没有 B4、B5 时沿用 B3）</t>
        </is>
      </c>
      <c r="D37" s="9" t="inlineStr">
        <is>
          <t>P3</t>
        </is>
      </c>
      <c r="E37" s="8" t="inlineStr"/>
      <c r="F37" s="8" t="inlineStr"/>
      <c r="G37" s="7" t="n">
        <v>48</v>
      </c>
      <c r="H37" s="7" t="n">
        <v>58</v>
      </c>
      <c r="I37" s="7" t="n">
        <v>0.5</v>
      </c>
      <c r="J37" s="7" t="n">
        <v>0.92</v>
      </c>
      <c r="K37" s="7" t="n">
        <v>1</v>
      </c>
      <c r="L37" s="7" t="n">
        <v>0</v>
      </c>
      <c r="M37" s="7" t="n">
        <v>0</v>
      </c>
      <c r="N37" s="9">
        <f>IF(K37&gt;1,K37*G37*3&amp;" × "&amp;H37*3&amp;"（"&amp;K37&amp;" 帧横排）",G37*3&amp;" × "&amp;H37*3)</f>
        <v/>
      </c>
    </row>
    <row r="38">
      <c r="A38" s="6" t="inlineStr">
        <is>
          <t>tower.sniper.C3</t>
        </is>
      </c>
      <c r="B38" s="9" t="inlineStr">
        <is>
          <t>装置变种</t>
        </is>
      </c>
      <c r="C38" s="9" t="inlineStr">
        <is>
          <t>鞋盒无人机「应急后勤」主路线 3 级起的造型（C3；没有 C4、C5 时沿用 C3）</t>
        </is>
      </c>
      <c r="D38" s="9" t="inlineStr">
        <is>
          <t>P2</t>
        </is>
      </c>
      <c r="E38" s="8" t="inlineStr"/>
      <c r="F38" s="8" t="inlineStr"/>
      <c r="G38" s="7" t="n">
        <v>44</v>
      </c>
      <c r="H38" s="7" t="n">
        <v>54</v>
      </c>
      <c r="I38" s="7" t="n">
        <v>0.5</v>
      </c>
      <c r="J38" s="7" t="n">
        <v>0.92</v>
      </c>
      <c r="K38" s="7" t="n">
        <v>1</v>
      </c>
      <c r="L38" s="7" t="n">
        <v>0</v>
      </c>
      <c r="M38" s="7" t="n">
        <v>0</v>
      </c>
      <c r="N38" s="9">
        <f>IF(K38&gt;1,K38*G38*3&amp;" × "&amp;H38*3&amp;"（"&amp;K38&amp;" 帧横排）",G38*3&amp;" × "&amp;H38*3)</f>
        <v/>
      </c>
    </row>
    <row r="39">
      <c r="A39" s="6" t="inlineStr">
        <is>
          <t>tower.sniper.C6</t>
        </is>
      </c>
      <c r="B39" s="9" t="inlineStr">
        <is>
          <t>装置变种</t>
        </is>
      </c>
      <c r="C39" s="9" t="inlineStr">
        <is>
          <t>鞋盒无人机「应急后勤」主路线 6 级起的造型（C6；没有 C4、C5 时沿用 C3）</t>
        </is>
      </c>
      <c r="D39" s="9" t="inlineStr">
        <is>
          <t>P3</t>
        </is>
      </c>
      <c r="E39" s="8" t="inlineStr"/>
      <c r="F39" s="8" t="inlineStr"/>
      <c r="G39" s="7" t="n">
        <v>48</v>
      </c>
      <c r="H39" s="7" t="n">
        <v>58</v>
      </c>
      <c r="I39" s="7" t="n">
        <v>0.5</v>
      </c>
      <c r="J39" s="7" t="n">
        <v>0.92</v>
      </c>
      <c r="K39" s="7" t="n">
        <v>1</v>
      </c>
      <c r="L39" s="7" t="n">
        <v>0</v>
      </c>
      <c r="M39" s="7" t="n">
        <v>0</v>
      </c>
      <c r="N39" s="9">
        <f>IF(K39&gt;1,K39*G39*3&amp;" × "&amp;H39*3&amp;"（"&amp;K39&amp;" 帧横排）",G39*3&amp;" × "&amp;H39*3)</f>
        <v/>
      </c>
    </row>
    <row r="40">
      <c r="A40" s="6" t="inlineStr">
        <is>
          <t>tower.tesla.A3</t>
        </is>
      </c>
      <c r="B40" s="9" t="inlineStr">
        <is>
          <t>装置变种</t>
        </is>
      </c>
      <c r="C40" s="9" t="inlineStr">
        <is>
          <t>广场舞音响「神曲接力」主路线 3 级起的造型（A3；没有 A4、A5 时沿用 A3）</t>
        </is>
      </c>
      <c r="D40" s="9" t="inlineStr">
        <is>
          <t>P2</t>
        </is>
      </c>
      <c r="E40" s="8" t="inlineStr"/>
      <c r="F40" s="8" t="inlineStr"/>
      <c r="G40" s="7" t="n">
        <v>44</v>
      </c>
      <c r="H40" s="7" t="n">
        <v>54</v>
      </c>
      <c r="I40" s="7" t="n">
        <v>0.5</v>
      </c>
      <c r="J40" s="7" t="n">
        <v>0.92</v>
      </c>
      <c r="K40" s="7" t="n">
        <v>1</v>
      </c>
      <c r="L40" s="7" t="n">
        <v>0</v>
      </c>
      <c r="M40" s="7" t="n">
        <v>0</v>
      </c>
      <c r="N40" s="9">
        <f>IF(K40&gt;1,K40*G40*3&amp;" × "&amp;H40*3&amp;"（"&amp;K40&amp;" 帧横排）",G40*3&amp;" × "&amp;H40*3)</f>
        <v/>
      </c>
    </row>
    <row r="41">
      <c r="A41" s="6" t="inlineStr">
        <is>
          <t>tower.tesla.A6</t>
        </is>
      </c>
      <c r="B41" s="9" t="inlineStr">
        <is>
          <t>装置变种</t>
        </is>
      </c>
      <c r="C41" s="9" t="inlineStr">
        <is>
          <t>广场舞音响「神曲接力」主路线 6 级起的造型（A6；没有 A4、A5 时沿用 A3）</t>
        </is>
      </c>
      <c r="D41" s="9" t="inlineStr">
        <is>
          <t>P3</t>
        </is>
      </c>
      <c r="E41" s="8" t="inlineStr"/>
      <c r="F41" s="8" t="inlineStr"/>
      <c r="G41" s="7" t="n">
        <v>48</v>
      </c>
      <c r="H41" s="7" t="n">
        <v>58</v>
      </c>
      <c r="I41" s="7" t="n">
        <v>0.5</v>
      </c>
      <c r="J41" s="7" t="n">
        <v>0.92</v>
      </c>
      <c r="K41" s="7" t="n">
        <v>1</v>
      </c>
      <c r="L41" s="7" t="n">
        <v>0</v>
      </c>
      <c r="M41" s="7" t="n">
        <v>0</v>
      </c>
      <c r="N41" s="9">
        <f>IF(K41&gt;1,K41*G41*3&amp;" × "&amp;H41*3&amp;"（"&amp;K41&amp;" 帧横排）",G41*3&amp;" × "&amp;H41*3)</f>
        <v/>
      </c>
    </row>
    <row r="42">
      <c r="A42" s="6" t="inlineStr">
        <is>
          <t>tower.tesla.B3</t>
        </is>
      </c>
      <c r="B42" s="9" t="inlineStr">
        <is>
          <t>装置变种</t>
        </is>
      </c>
      <c r="C42" s="9" t="inlineStr">
        <is>
          <t>广场舞音响「重低音共振」主路线 3 级起的造型（B3；没有 B4、B5 时沿用 B3）</t>
        </is>
      </c>
      <c r="D42" s="9" t="inlineStr">
        <is>
          <t>P2</t>
        </is>
      </c>
      <c r="E42" s="8" t="inlineStr"/>
      <c r="F42" s="8" t="inlineStr"/>
      <c r="G42" s="7" t="n">
        <v>44</v>
      </c>
      <c r="H42" s="7" t="n">
        <v>54</v>
      </c>
      <c r="I42" s="7" t="n">
        <v>0.5</v>
      </c>
      <c r="J42" s="7" t="n">
        <v>0.92</v>
      </c>
      <c r="K42" s="7" t="n">
        <v>1</v>
      </c>
      <c r="L42" s="7" t="n">
        <v>0</v>
      </c>
      <c r="M42" s="7" t="n">
        <v>0</v>
      </c>
      <c r="N42" s="9">
        <f>IF(K42&gt;1,K42*G42*3&amp;" × "&amp;H42*3&amp;"（"&amp;K42&amp;" 帧横排）",G42*3&amp;" × "&amp;H42*3)</f>
        <v/>
      </c>
    </row>
    <row r="43">
      <c r="A43" s="6" t="inlineStr">
        <is>
          <t>tower.tesla.B6</t>
        </is>
      </c>
      <c r="B43" s="9" t="inlineStr">
        <is>
          <t>装置变种</t>
        </is>
      </c>
      <c r="C43" s="9" t="inlineStr">
        <is>
          <t>广场舞音响「重低音共振」主路线 6 级起的造型（B6；没有 B4、B5 时沿用 B3）</t>
        </is>
      </c>
      <c r="D43" s="9" t="inlineStr">
        <is>
          <t>P3</t>
        </is>
      </c>
      <c r="E43" s="8" t="inlineStr"/>
      <c r="F43" s="8" t="inlineStr"/>
      <c r="G43" s="7" t="n">
        <v>48</v>
      </c>
      <c r="H43" s="7" t="n">
        <v>58</v>
      </c>
      <c r="I43" s="7" t="n">
        <v>0.5</v>
      </c>
      <c r="J43" s="7" t="n">
        <v>0.92</v>
      </c>
      <c r="K43" s="7" t="n">
        <v>1</v>
      </c>
      <c r="L43" s="7" t="n">
        <v>0</v>
      </c>
      <c r="M43" s="7" t="n">
        <v>0</v>
      </c>
      <c r="N43" s="9">
        <f>IF(K43&gt;1,K43*G43*3&amp;" × "&amp;H43*3&amp;"（"&amp;K43&amp;" 帧横排）",G43*3&amp;" × "&amp;H43*3)</f>
        <v/>
      </c>
    </row>
    <row r="44">
      <c r="A44" s="6" t="inlineStr">
        <is>
          <t>tower.tesla.C3</t>
        </is>
      </c>
      <c r="B44" s="9" t="inlineStr">
        <is>
          <t>装置变种</t>
        </is>
      </c>
      <c r="C44" s="9" t="inlineStr">
        <is>
          <t>广场舞音响「耳虫续播」主路线 3 级起的造型（C3；没有 C4、C5 时沿用 C3）</t>
        </is>
      </c>
      <c r="D44" s="9" t="inlineStr">
        <is>
          <t>P2</t>
        </is>
      </c>
      <c r="E44" s="8" t="inlineStr"/>
      <c r="F44" s="8" t="inlineStr"/>
      <c r="G44" s="7" t="n">
        <v>44</v>
      </c>
      <c r="H44" s="7" t="n">
        <v>54</v>
      </c>
      <c r="I44" s="7" t="n">
        <v>0.5</v>
      </c>
      <c r="J44" s="7" t="n">
        <v>0.92</v>
      </c>
      <c r="K44" s="7" t="n">
        <v>1</v>
      </c>
      <c r="L44" s="7" t="n">
        <v>0</v>
      </c>
      <c r="M44" s="7" t="n">
        <v>0</v>
      </c>
      <c r="N44" s="9">
        <f>IF(K44&gt;1,K44*G44*3&amp;" × "&amp;H44*3&amp;"（"&amp;K44&amp;" 帧横排）",G44*3&amp;" × "&amp;H44*3)</f>
        <v/>
      </c>
    </row>
    <row r="45">
      <c r="A45" s="6" t="inlineStr">
        <is>
          <t>tower.tesla.C6</t>
        </is>
      </c>
      <c r="B45" s="9" t="inlineStr">
        <is>
          <t>装置变种</t>
        </is>
      </c>
      <c r="C45" s="9" t="inlineStr">
        <is>
          <t>广场舞音响「耳虫续播」主路线 6 级起的造型（C6；没有 C4、C5 时沿用 C3）</t>
        </is>
      </c>
      <c r="D45" s="9" t="inlineStr">
        <is>
          <t>P3</t>
        </is>
      </c>
      <c r="E45" s="8" t="inlineStr"/>
      <c r="F45" s="8" t="inlineStr"/>
      <c r="G45" s="7" t="n">
        <v>48</v>
      </c>
      <c r="H45" s="7" t="n">
        <v>58</v>
      </c>
      <c r="I45" s="7" t="n">
        <v>0.5</v>
      </c>
      <c r="J45" s="7" t="n">
        <v>0.92</v>
      </c>
      <c r="K45" s="7" t="n">
        <v>1</v>
      </c>
      <c r="L45" s="7" t="n">
        <v>0</v>
      </c>
      <c r="M45" s="7" t="n">
        <v>0</v>
      </c>
      <c r="N45" s="9">
        <f>IF(K45&gt;1,K45*G45*3&amp;" × "&amp;H45*3&amp;"（"&amp;K45&amp;" 帧横排）",G45*3&amp;" × "&amp;H45*3)</f>
        <v/>
      </c>
    </row>
    <row r="46">
      <c r="A46" s="6" t="inlineStr">
        <is>
          <t>tower.lure.A3</t>
        </is>
      </c>
      <c r="B46" s="9" t="inlineStr">
        <is>
          <t>装置变种</t>
        </is>
      </c>
      <c r="C46" s="9" t="inlineStr">
        <is>
          <t>休闲诱惑站「美食飘香」主路线 3 级起的造型（A3；没有 A4、A5 时沿用 A3）</t>
        </is>
      </c>
      <c r="D46" s="9" t="inlineStr">
        <is>
          <t>P2</t>
        </is>
      </c>
      <c r="E46" s="8" t="inlineStr"/>
      <c r="F46" s="8" t="inlineStr"/>
      <c r="G46" s="7" t="n">
        <v>44</v>
      </c>
      <c r="H46" s="7" t="n">
        <v>54</v>
      </c>
      <c r="I46" s="7" t="n">
        <v>0.5</v>
      </c>
      <c r="J46" s="7" t="n">
        <v>0.92</v>
      </c>
      <c r="K46" s="7" t="n">
        <v>1</v>
      </c>
      <c r="L46" s="7" t="n">
        <v>0</v>
      </c>
      <c r="M46" s="7" t="n">
        <v>0</v>
      </c>
      <c r="N46" s="9">
        <f>IF(K46&gt;1,K46*G46*3&amp;" × "&amp;H46*3&amp;"（"&amp;K46&amp;" 帧横排）",G46*3&amp;" × "&amp;H46*3)</f>
        <v/>
      </c>
    </row>
    <row r="47">
      <c r="A47" s="6" t="inlineStr">
        <is>
          <t>tower.lure.A6</t>
        </is>
      </c>
      <c r="B47" s="9" t="inlineStr">
        <is>
          <t>装置变种</t>
        </is>
      </c>
      <c r="C47" s="9" t="inlineStr">
        <is>
          <t>休闲诱惑站「美食飘香」主路线 6 级起的造型（A6；没有 A4、A5 时沿用 A3）</t>
        </is>
      </c>
      <c r="D47" s="9" t="inlineStr">
        <is>
          <t>P3</t>
        </is>
      </c>
      <c r="E47" s="8" t="inlineStr"/>
      <c r="F47" s="8" t="inlineStr"/>
      <c r="G47" s="7" t="n">
        <v>48</v>
      </c>
      <c r="H47" s="7" t="n">
        <v>58</v>
      </c>
      <c r="I47" s="7" t="n">
        <v>0.5</v>
      </c>
      <c r="J47" s="7" t="n">
        <v>0.92</v>
      </c>
      <c r="K47" s="7" t="n">
        <v>1</v>
      </c>
      <c r="L47" s="7" t="n">
        <v>0</v>
      </c>
      <c r="M47" s="7" t="n">
        <v>0</v>
      </c>
      <c r="N47" s="9">
        <f>IF(K47&gt;1,K47*G47*3&amp;" × "&amp;H47*3&amp;"（"&amp;K47&amp;" 帧横排）",G47*3&amp;" × "&amp;H47*3)</f>
        <v/>
      </c>
    </row>
    <row r="48">
      <c r="A48" s="6" t="inlineStr">
        <is>
          <t>tower.lure.B3</t>
        </is>
      </c>
      <c r="B48" s="9" t="inlineStr">
        <is>
          <t>装置变种</t>
        </is>
      </c>
      <c r="C48" s="9" t="inlineStr">
        <is>
          <t>休闲诱惑站「舒适休息」主路线 3 级起的造型（B3；没有 B4、B5 时沿用 B3）</t>
        </is>
      </c>
      <c r="D48" s="9" t="inlineStr">
        <is>
          <t>P2</t>
        </is>
      </c>
      <c r="E48" s="8" t="inlineStr"/>
      <c r="F48" s="8" t="inlineStr"/>
      <c r="G48" s="7" t="n">
        <v>44</v>
      </c>
      <c r="H48" s="7" t="n">
        <v>54</v>
      </c>
      <c r="I48" s="7" t="n">
        <v>0.5</v>
      </c>
      <c r="J48" s="7" t="n">
        <v>0.92</v>
      </c>
      <c r="K48" s="7" t="n">
        <v>1</v>
      </c>
      <c r="L48" s="7" t="n">
        <v>0</v>
      </c>
      <c r="M48" s="7" t="n">
        <v>0</v>
      </c>
      <c r="N48" s="9">
        <f>IF(K48&gt;1,K48*G48*3&amp;" × "&amp;H48*3&amp;"（"&amp;K48&amp;" 帧横排）",G48*3&amp;" × "&amp;H48*3)</f>
        <v/>
      </c>
    </row>
    <row r="49">
      <c r="A49" s="6" t="inlineStr">
        <is>
          <t>tower.lure.B6</t>
        </is>
      </c>
      <c r="B49" s="9" t="inlineStr">
        <is>
          <t>装置变种</t>
        </is>
      </c>
      <c r="C49" s="9" t="inlineStr">
        <is>
          <t>休闲诱惑站「舒适休息」主路线 6 级起的造型（B6；没有 B4、B5 时沿用 B3）</t>
        </is>
      </c>
      <c r="D49" s="9" t="inlineStr">
        <is>
          <t>P3</t>
        </is>
      </c>
      <c r="E49" s="8" t="inlineStr"/>
      <c r="F49" s="8" t="inlineStr"/>
      <c r="G49" s="7" t="n">
        <v>48</v>
      </c>
      <c r="H49" s="7" t="n">
        <v>58</v>
      </c>
      <c r="I49" s="7" t="n">
        <v>0.5</v>
      </c>
      <c r="J49" s="7" t="n">
        <v>0.92</v>
      </c>
      <c r="K49" s="7" t="n">
        <v>1</v>
      </c>
      <c r="L49" s="7" t="n">
        <v>0</v>
      </c>
      <c r="M49" s="7" t="n">
        <v>0</v>
      </c>
      <c r="N49" s="9">
        <f>IF(K49&gt;1,K49*G49*3&amp;" × "&amp;H49*3&amp;"（"&amp;K49&amp;" 帧横排）",G49*3&amp;" × "&amp;H49*3)</f>
        <v/>
      </c>
    </row>
    <row r="50">
      <c r="A50" s="6" t="inlineStr">
        <is>
          <t>tower.lure.C3</t>
        </is>
      </c>
      <c r="B50" s="9" t="inlineStr">
        <is>
          <t>装置变种</t>
        </is>
      </c>
      <c r="C50" s="9" t="inlineStr">
        <is>
          <t>休闲诱惑站「限量围观」主路线 3 级起的造型（C3；没有 C4、C5 时沿用 C3）</t>
        </is>
      </c>
      <c r="D50" s="9" t="inlineStr">
        <is>
          <t>P2</t>
        </is>
      </c>
      <c r="E50" s="8" t="inlineStr"/>
      <c r="F50" s="8" t="inlineStr"/>
      <c r="G50" s="7" t="n">
        <v>44</v>
      </c>
      <c r="H50" s="7" t="n">
        <v>54</v>
      </c>
      <c r="I50" s="7" t="n">
        <v>0.5</v>
      </c>
      <c r="J50" s="7" t="n">
        <v>0.92</v>
      </c>
      <c r="K50" s="7" t="n">
        <v>1</v>
      </c>
      <c r="L50" s="7" t="n">
        <v>0</v>
      </c>
      <c r="M50" s="7" t="n">
        <v>0</v>
      </c>
      <c r="N50" s="9">
        <f>IF(K50&gt;1,K50*G50*3&amp;" × "&amp;H50*3&amp;"（"&amp;K50&amp;" 帧横排）",G50*3&amp;" × "&amp;H50*3)</f>
        <v/>
      </c>
    </row>
    <row r="51">
      <c r="A51" s="6" t="inlineStr">
        <is>
          <t>tower.lure.C6</t>
        </is>
      </c>
      <c r="B51" s="9" t="inlineStr">
        <is>
          <t>装置变种</t>
        </is>
      </c>
      <c r="C51" s="9" t="inlineStr">
        <is>
          <t>休闲诱惑站「限量围观」主路线 6 级起的造型（C6；没有 C4、C5 时沿用 C3）</t>
        </is>
      </c>
      <c r="D51" s="9" t="inlineStr">
        <is>
          <t>P3</t>
        </is>
      </c>
      <c r="E51" s="8" t="inlineStr"/>
      <c r="F51" s="8" t="inlineStr"/>
      <c r="G51" s="7" t="n">
        <v>48</v>
      </c>
      <c r="H51" s="7" t="n">
        <v>58</v>
      </c>
      <c r="I51" s="7" t="n">
        <v>0.5</v>
      </c>
      <c r="J51" s="7" t="n">
        <v>0.92</v>
      </c>
      <c r="K51" s="7" t="n">
        <v>1</v>
      </c>
      <c r="L51" s="7" t="n">
        <v>0</v>
      </c>
      <c r="M51" s="7" t="n">
        <v>0</v>
      </c>
      <c r="N51" s="9">
        <f>IF(K51&gt;1,K51*G51*3&amp;" × "&amp;H51*3&amp;"（"&amp;K51&amp;" 帧横排）",G51*3&amp;" × "&amp;H51*3)</f>
        <v/>
      </c>
    </row>
    <row r="52">
      <c r="A52" s="6" t="inlineStr">
        <is>
          <t>pad.empty</t>
        </is>
      </c>
      <c r="B52" s="9" t="inlineStr">
        <is>
          <t>空位</t>
        </is>
      </c>
      <c r="C52" s="9" t="inlineStr">
        <is>
          <t>可放置装置的空位（石台 + 加号）</t>
        </is>
      </c>
      <c r="D52" s="9" t="inlineStr">
        <is>
          <t>P2</t>
        </is>
      </c>
      <c r="E52" s="8" t="inlineStr"/>
      <c r="F52" s="8" t="inlineStr"/>
      <c r="G52" s="7" t="n">
        <v>36</v>
      </c>
      <c r="H52" s="7" t="n">
        <v>22</v>
      </c>
      <c r="I52" s="7" t="n">
        <v>0.5</v>
      </c>
      <c r="J52" s="7" t="n">
        <v>1</v>
      </c>
      <c r="K52" s="7" t="n">
        <v>1</v>
      </c>
      <c r="L52" s="7" t="n">
        <v>0</v>
      </c>
      <c r="M52" s="7" t="n">
        <v>0</v>
      </c>
      <c r="N52" s="9">
        <f>IF(K52&gt;1,K52*G52*3&amp;" × "&amp;H52*3&amp;"（"&amp;K52&amp;" 帧横排）",G52*3&amp;" × "&amp;H52*3)</f>
        <v/>
      </c>
    </row>
    <row r="53">
      <c r="A53" s="6" t="inlineStr">
        <is>
          <t>pad.base</t>
        </is>
      </c>
      <c r="B53" s="9" t="inlineStr">
        <is>
          <t>空位</t>
        </is>
      </c>
      <c r="C53" s="9" t="inlineStr">
        <is>
          <t>装置脚下的底座</t>
        </is>
      </c>
      <c r="D53" s="9" t="inlineStr">
        <is>
          <t>P2</t>
        </is>
      </c>
      <c r="E53" s="8" t="inlineStr"/>
      <c r="F53" s="8" t="inlineStr"/>
      <c r="G53" s="7" t="n">
        <v>36</v>
      </c>
      <c r="H53" s="7" t="n">
        <v>22</v>
      </c>
      <c r="I53" s="7" t="n">
        <v>0.5</v>
      </c>
      <c r="J53" s="7" t="n">
        <v>1</v>
      </c>
      <c r="K53" s="7" t="n">
        <v>1</v>
      </c>
      <c r="L53" s="7" t="n">
        <v>0</v>
      </c>
      <c r="M53" s="7" t="n">
        <v>0</v>
      </c>
      <c r="N53" s="9">
        <f>IF(K53&gt;1,K53*G53*3&amp;" × "&amp;H53*3&amp;"（"&amp;K53&amp;" 帧横排）",G53*3&amp;" × "&amp;H53*3)</f>
        <v/>
      </c>
    </row>
    <row r="54">
      <c r="A54" s="6" t="inlineStr">
        <is>
          <t>runner.norm</t>
        </is>
      </c>
      <c r="B54" s="9" t="inlineStr">
        <is>
          <t>跑者</t>
        </is>
      </c>
      <c r="C54" s="9" t="inlineStr">
        <is>
          <t>慢跑者，侧面向右跑；横向序列帧</t>
        </is>
      </c>
      <c r="D54" s="9" t="inlineStr">
        <is>
          <t>P1 样板关</t>
        </is>
      </c>
      <c r="E54" s="8" t="inlineStr"/>
      <c r="F54" s="8" t="inlineStr"/>
      <c r="G54" s="7" t="n">
        <v>30</v>
      </c>
      <c r="H54" s="7" t="n">
        <v>36</v>
      </c>
      <c r="I54" s="7" t="n">
        <v>0.5</v>
      </c>
      <c r="J54" s="7" t="n">
        <v>1</v>
      </c>
      <c r="K54" s="7" t="n">
        <v>6</v>
      </c>
      <c r="L54" s="7" t="n">
        <v>10</v>
      </c>
      <c r="M54" s="7" t="n">
        <v>0</v>
      </c>
      <c r="N54" s="9">
        <f>IF(K54&gt;1,K54*G54*3&amp;" × "&amp;H54*3&amp;"（"&amp;K54&amp;" 帧横排）",G54*3&amp;" × "&amp;H54*3)</f>
        <v/>
      </c>
    </row>
    <row r="55">
      <c r="A55" s="6" t="inlineStr">
        <is>
          <t>runner.arm</t>
        </is>
      </c>
      <c r="B55" s="9" t="inlineStr">
        <is>
          <t>跑者</t>
        </is>
      </c>
      <c r="C55" s="9" t="inlineStr">
        <is>
          <t>耐力跑者（更壮、带护具）</t>
        </is>
      </c>
      <c r="D55" s="9" t="inlineStr">
        <is>
          <t>P1 样板关</t>
        </is>
      </c>
      <c r="E55" s="8" t="inlineStr"/>
      <c r="F55" s="8" t="inlineStr"/>
      <c r="G55" s="7" t="n">
        <v>34</v>
      </c>
      <c r="H55" s="7" t="n">
        <v>42</v>
      </c>
      <c r="I55" s="7" t="n">
        <v>0.5</v>
      </c>
      <c r="J55" s="7" t="n">
        <v>1</v>
      </c>
      <c r="K55" s="7" t="n">
        <v>6</v>
      </c>
      <c r="L55" s="7" t="n">
        <v>10</v>
      </c>
      <c r="M55" s="7" t="n">
        <v>0</v>
      </c>
      <c r="N55" s="9">
        <f>IF(K55&gt;1,K55*G55*3&amp;" × "&amp;H55*3&amp;"（"&amp;K55&amp;" 帧横排）",G55*3&amp;" × "&amp;H55*3)</f>
        <v/>
      </c>
    </row>
    <row r="56">
      <c r="A56" s="6" t="inlineStr">
        <is>
          <t>runner.mini</t>
        </is>
      </c>
      <c r="B56" s="9" t="inlineStr">
        <is>
          <t>跑者</t>
        </is>
      </c>
      <c r="C56" s="9" t="inlineStr">
        <is>
          <t>跑团分裂出的小跑者</t>
        </is>
      </c>
      <c r="D56" s="9" t="inlineStr">
        <is>
          <t>P2</t>
        </is>
      </c>
      <c r="E56" s="8" t="inlineStr"/>
      <c r="F56" s="8" t="inlineStr"/>
      <c r="G56" s="7" t="n">
        <v>22</v>
      </c>
      <c r="H56" s="7" t="n">
        <v>26</v>
      </c>
      <c r="I56" s="7" t="n">
        <v>0.5</v>
      </c>
      <c r="J56" s="7" t="n">
        <v>1</v>
      </c>
      <c r="K56" s="7" t="n">
        <v>6</v>
      </c>
      <c r="L56" s="7" t="n">
        <v>12</v>
      </c>
      <c r="M56" s="7" t="n">
        <v>0</v>
      </c>
      <c r="N56" s="9">
        <f>IF(K56&gt;1,K56*G56*3&amp;" × "&amp;H56*3&amp;"（"&amp;K56&amp;" 帧横排）",G56*3&amp;" × "&amp;H56*3)</f>
        <v/>
      </c>
    </row>
    <row r="57">
      <c r="A57" s="6" t="inlineStr">
        <is>
          <t>runner.gold</t>
        </is>
      </c>
      <c r="B57" s="9" t="inlineStr">
        <is>
          <t>跑者</t>
        </is>
      </c>
      <c r="C57" s="9" t="inlineStr">
        <is>
          <t>Aurum 召唤的金甲跑者</t>
        </is>
      </c>
      <c r="D57" s="9" t="inlineStr">
        <is>
          <t>P2</t>
        </is>
      </c>
      <c r="E57" s="8" t="inlineStr"/>
      <c r="F57" s="8" t="inlineStr"/>
      <c r="G57" s="7" t="n">
        <v>32</v>
      </c>
      <c r="H57" s="7" t="n">
        <v>38</v>
      </c>
      <c r="I57" s="7" t="n">
        <v>0.5</v>
      </c>
      <c r="J57" s="7" t="n">
        <v>1</v>
      </c>
      <c r="K57" s="7" t="n">
        <v>6</v>
      </c>
      <c r="L57" s="7" t="n">
        <v>10</v>
      </c>
      <c r="M57" s="7" t="n">
        <v>0</v>
      </c>
      <c r="N57" s="9">
        <f>IF(K57&gt;1,K57*G57*3&amp;" × "&amp;H57*3&amp;"（"&amp;K57&amp;" 帧横排）",G57*3&amp;" × "&amp;H57*3)</f>
        <v/>
      </c>
    </row>
    <row r="58">
      <c r="A58" s="6" t="inlineStr">
        <is>
          <t>boss.yawn</t>
        </is>
      </c>
      <c r="B58" s="9" t="inlineStr">
        <is>
          <t>Boss</t>
        </is>
      </c>
      <c r="C58" s="9" t="inlineStr">
        <is>
          <t>Nox（黑猫，九命），侧面向右跑；真人原型需本人同意</t>
        </is>
      </c>
      <c r="D58" s="9" t="inlineStr">
        <is>
          <t>P1 样板关</t>
        </is>
      </c>
      <c r="E58" s="8" t="inlineStr"/>
      <c r="F58" s="8" t="inlineStr"/>
      <c r="G58" s="7" t="n">
        <v>72</v>
      </c>
      <c r="H58" s="7" t="n">
        <v>56</v>
      </c>
      <c r="I58" s="7" t="n">
        <v>0.5</v>
      </c>
      <c r="J58" s="7" t="n">
        <v>1</v>
      </c>
      <c r="K58" s="7" t="n">
        <v>6</v>
      </c>
      <c r="L58" s="7" t="n">
        <v>8</v>
      </c>
      <c r="M58" s="7" t="n">
        <v>0</v>
      </c>
      <c r="N58" s="9">
        <f>IF(K58&gt;1,K58*G58*3&amp;" × "&amp;H58*3&amp;"（"&amp;K58&amp;" 帧横排）",G58*3&amp;" × "&amp;H58*3)</f>
        <v/>
      </c>
    </row>
    <row r="59">
      <c r="A59" s="6" t="inlineStr">
        <is>
          <t>boss.gilg</t>
        </is>
      </c>
      <c r="B59" s="9" t="inlineStr">
        <is>
          <t>Boss</t>
        </is>
      </c>
      <c r="C59" s="9" t="inlineStr">
        <is>
          <t>Aurum，侧面向右跑；真人原型需本人同意</t>
        </is>
      </c>
      <c r="D59" s="9" t="inlineStr">
        <is>
          <t>P2</t>
        </is>
      </c>
      <c r="E59" s="8" t="inlineStr"/>
      <c r="F59" s="8" t="inlineStr"/>
      <c r="G59" s="7" t="n">
        <v>64</v>
      </c>
      <c r="H59" s="7" t="n">
        <v>80</v>
      </c>
      <c r="I59" s="7" t="n">
        <v>0.5</v>
      </c>
      <c r="J59" s="7" t="n">
        <v>1</v>
      </c>
      <c r="K59" s="7" t="n">
        <v>6</v>
      </c>
      <c r="L59" s="7" t="n">
        <v>8</v>
      </c>
      <c r="M59" s="7" t="n">
        <v>0</v>
      </c>
      <c r="N59" s="9">
        <f>IF(K59&gt;1,K59*G59*3&amp;" × "&amp;H59*3&amp;"（"&amp;K59&amp;" 帧横排）",G59*3&amp;" × "&amp;H59*3)</f>
        <v/>
      </c>
    </row>
    <row r="60">
      <c r="A60" s="6" t="inlineStr">
        <is>
          <t>boss.king</t>
        </is>
      </c>
      <c r="B60" s="9" t="inlineStr">
        <is>
          <t>Boss</t>
        </is>
      </c>
      <c r="C60" s="9" t="inlineStr">
        <is>
          <t>Slimo，侧面向右跑；真人原型需本人同意</t>
        </is>
      </c>
      <c r="D60" s="9" t="inlineStr">
        <is>
          <t>P2</t>
        </is>
      </c>
      <c r="E60" s="8" t="inlineStr"/>
      <c r="F60" s="8" t="inlineStr"/>
      <c r="G60" s="7" t="n">
        <v>64</v>
      </c>
      <c r="H60" s="7" t="n">
        <v>80</v>
      </c>
      <c r="I60" s="7" t="n">
        <v>0.5</v>
      </c>
      <c r="J60" s="7" t="n">
        <v>1</v>
      </c>
      <c r="K60" s="7" t="n">
        <v>6</v>
      </c>
      <c r="L60" s="7" t="n">
        <v>8</v>
      </c>
      <c r="M60" s="7" t="n">
        <v>0</v>
      </c>
      <c r="N60" s="9">
        <f>IF(K60&gt;1,K60*G60*3&amp;" × "&amp;H60*3&amp;"（"&amp;K60&amp;" 帧横排）",G60*3&amp;" × "&amp;H60*3)</f>
        <v/>
      </c>
    </row>
    <row r="61">
      <c r="A61" s="6" t="inlineStr">
        <is>
          <t>boss.lucas</t>
        </is>
      </c>
      <c r="B61" s="9" t="inlineStr">
        <is>
          <t>Boss</t>
        </is>
      </c>
      <c r="C61" s="9" t="inlineStr">
        <is>
          <t>Rocco，侧面向右跑；真人原型需本人同意</t>
        </is>
      </c>
      <c r="D61" s="9" t="inlineStr">
        <is>
          <t>P2</t>
        </is>
      </c>
      <c r="E61" s="8" t="inlineStr"/>
      <c r="F61" s="8" t="inlineStr"/>
      <c r="G61" s="7" t="n">
        <v>64</v>
      </c>
      <c r="H61" s="7" t="n">
        <v>80</v>
      </c>
      <c r="I61" s="7" t="n">
        <v>0.5</v>
      </c>
      <c r="J61" s="7" t="n">
        <v>1</v>
      </c>
      <c r="K61" s="7" t="n">
        <v>6</v>
      </c>
      <c r="L61" s="7" t="n">
        <v>8</v>
      </c>
      <c r="M61" s="7" t="n">
        <v>0</v>
      </c>
      <c r="N61" s="9">
        <f>IF(K61&gt;1,K61*G61*3&amp;" × "&amp;H61*3&amp;"（"&amp;K61&amp;" 帧横排）",G61*3&amp;" × "&amp;H61*3)</f>
        <v/>
      </c>
    </row>
    <row r="62">
      <c r="A62" s="6" t="inlineStr">
        <is>
          <t>boss.shiti</t>
        </is>
      </c>
      <c r="B62" s="9" t="inlineStr">
        <is>
          <t>Boss</t>
        </is>
      </c>
      <c r="C62" s="9" t="inlineStr">
        <is>
          <t>Chuckles，侧面向右跑；真人原型需本人同意</t>
        </is>
      </c>
      <c r="D62" s="9" t="inlineStr">
        <is>
          <t>P2</t>
        </is>
      </c>
      <c r="E62" s="8" t="inlineStr"/>
      <c r="F62" s="8" t="inlineStr"/>
      <c r="G62" s="7" t="n">
        <v>64</v>
      </c>
      <c r="H62" s="7" t="n">
        <v>80</v>
      </c>
      <c r="I62" s="7" t="n">
        <v>0.5</v>
      </c>
      <c r="J62" s="7" t="n">
        <v>1</v>
      </c>
      <c r="K62" s="7" t="n">
        <v>6</v>
      </c>
      <c r="L62" s="7" t="n">
        <v>8</v>
      </c>
      <c r="M62" s="7" t="n">
        <v>0</v>
      </c>
      <c r="N62" s="9">
        <f>IF(K62&gt;1,K62*G62*3&amp;" × "&amp;H62*3&amp;"（"&amp;K62&amp;" 帧横排）",G62*3&amp;" × "&amp;H62*3)</f>
        <v/>
      </c>
    </row>
    <row r="63">
      <c r="A63" s="6" t="inlineStr">
        <is>
          <t>boss.jerry</t>
        </is>
      </c>
      <c r="B63" s="9" t="inlineStr">
        <is>
          <t>Boss</t>
        </is>
      </c>
      <c r="C63" s="9" t="inlineStr">
        <is>
          <t>Datto，侧面向右跑；真人原型需本人同意</t>
        </is>
      </c>
      <c r="D63" s="9" t="inlineStr">
        <is>
          <t>P2</t>
        </is>
      </c>
      <c r="E63" s="8" t="inlineStr"/>
      <c r="F63" s="8" t="inlineStr"/>
      <c r="G63" s="7" t="n">
        <v>64</v>
      </c>
      <c r="H63" s="7" t="n">
        <v>80</v>
      </c>
      <c r="I63" s="7" t="n">
        <v>0.5</v>
      </c>
      <c r="J63" s="7" t="n">
        <v>1</v>
      </c>
      <c r="K63" s="7" t="n">
        <v>6</v>
      </c>
      <c r="L63" s="7" t="n">
        <v>8</v>
      </c>
      <c r="M63" s="7" t="n">
        <v>0</v>
      </c>
      <c r="N63" s="9">
        <f>IF(K63&gt;1,K63*G63*3&amp;" × "&amp;H63*3&amp;"（"&amp;K63&amp;" 帧横排）",G63*3&amp;" × "&amp;H63*3)</f>
        <v/>
      </c>
    </row>
    <row r="64">
      <c r="A64" s="6" t="inlineStr">
        <is>
          <t>boss.pizza</t>
        </is>
      </c>
      <c r="B64" s="9" t="inlineStr">
        <is>
          <t>Boss</t>
        </is>
      </c>
      <c r="C64" s="9" t="inlineStr">
        <is>
          <t>Pizza Rider（披萨外卖员），侧面向右跑；真人原型需本人同意</t>
        </is>
      </c>
      <c r="D64" s="9" t="inlineStr">
        <is>
          <t>P2</t>
        </is>
      </c>
      <c r="E64" s="8" t="inlineStr"/>
      <c r="F64" s="8" t="inlineStr"/>
      <c r="G64" s="7" t="n">
        <v>64</v>
      </c>
      <c r="H64" s="7" t="n">
        <v>80</v>
      </c>
      <c r="I64" s="7" t="n">
        <v>0.5</v>
      </c>
      <c r="J64" s="7" t="n">
        <v>1</v>
      </c>
      <c r="K64" s="7" t="n">
        <v>6</v>
      </c>
      <c r="L64" s="7" t="n">
        <v>8</v>
      </c>
      <c r="M64" s="7" t="n">
        <v>0</v>
      </c>
      <c r="N64" s="9">
        <f>IF(K64&gt;1,K64*G64*3&amp;" × "&amp;H64*3&amp;"（"&amp;K64&amp;" 帧横排）",G64*3&amp;" × "&amp;H64*3)</f>
        <v/>
      </c>
    </row>
    <row r="65">
      <c r="A65" s="6" t="inlineStr">
        <is>
          <t>boss.overflow</t>
        </is>
      </c>
      <c r="B65" s="9" t="inlineStr">
        <is>
          <t>Boss</t>
        </is>
      </c>
      <c r="C65" s="9" t="inlineStr">
        <is>
          <t>Overflow（溢出怪），侧面向右跑；真人原型需本人同意</t>
        </is>
      </c>
      <c r="D65" s="9" t="inlineStr">
        <is>
          <t>P2</t>
        </is>
      </c>
      <c r="E65" s="8" t="inlineStr"/>
      <c r="F65" s="8" t="inlineStr"/>
      <c r="G65" s="7" t="n">
        <v>64</v>
      </c>
      <c r="H65" s="7" t="n">
        <v>80</v>
      </c>
      <c r="I65" s="7" t="n">
        <v>0.5</v>
      </c>
      <c r="J65" s="7" t="n">
        <v>1</v>
      </c>
      <c r="K65" s="7" t="n">
        <v>6</v>
      </c>
      <c r="L65" s="7" t="n">
        <v>8</v>
      </c>
      <c r="M65" s="7" t="n">
        <v>0</v>
      </c>
      <c r="N65" s="9">
        <f>IF(K65&gt;1,K65*G65*3&amp;" × "&amp;H65*3&amp;"（"&amp;K65&amp;" 帧横排）",G65*3&amp;" × "&amp;H65*3)</f>
        <v/>
      </c>
    </row>
    <row r="66">
      <c r="A66" s="6" t="inlineStr">
        <is>
          <t>shot.dart</t>
        </is>
      </c>
      <c r="B66" s="9" t="inlineStr">
        <is>
          <t>子弹</t>
        </is>
      </c>
      <c r="C66" s="9" t="inlineStr">
        <is>
          <t>易拉罐：fly 飞行循环（画朝右，游戏沿弹道旋转）+ hit 命中</t>
        </is>
      </c>
      <c r="D66" s="9" t="inlineStr">
        <is>
          <t>P2</t>
        </is>
      </c>
      <c r="E66" s="8" t="inlineStr">
        <is>
          <t>art/shot.dart.png</t>
        </is>
      </c>
      <c r="F66" s="8" t="inlineStr">
        <is>
          <t>art/shot.dart.json</t>
        </is>
      </c>
      <c r="G66" s="7" t="n">
        <v>19.1</v>
      </c>
      <c r="H66" s="7" t="n">
        <v>19.1</v>
      </c>
      <c r="I66" s="7" t="n">
        <v>0.5</v>
      </c>
      <c r="J66" s="7" t="n">
        <v>0.5</v>
      </c>
      <c r="K66" s="7" t="n">
        <v>1</v>
      </c>
      <c r="L66" s="7" t="n">
        <v>0</v>
      </c>
      <c r="M66" s="7" t="n">
        <v>0</v>
      </c>
      <c r="N66" s="9">
        <f>IF(K66&gt;1,K66*G66*3&amp;" × "&amp;H66*3&amp;"（"&amp;K66&amp;" 帧横排）",G66*3&amp;" × "&amp;H66*3)</f>
        <v/>
      </c>
    </row>
    <row r="67">
      <c r="A67" s="6" t="inlineStr">
        <is>
          <t>shot.bomb</t>
        </is>
      </c>
      <c r="B67" s="9" t="inlineStr">
        <is>
          <t>子弹</t>
        </is>
      </c>
      <c r="C67" s="9" t="inlineStr">
        <is>
          <t>飞行中的香蕉皮：fly + hit（落地）</t>
        </is>
      </c>
      <c r="D67" s="9" t="inlineStr">
        <is>
          <t>P2</t>
        </is>
      </c>
      <c r="E67" s="8" t="inlineStr">
        <is>
          <t>art/shot.bomb.png</t>
        </is>
      </c>
      <c r="F67" s="8" t="inlineStr">
        <is>
          <t>art/shot.bomb.json</t>
        </is>
      </c>
      <c r="G67" s="7" t="n">
        <v>15</v>
      </c>
      <c r="H67" s="7" t="n">
        <v>15</v>
      </c>
      <c r="I67" s="7" t="n">
        <v>0.5</v>
      </c>
      <c r="J67" s="7" t="n">
        <v>0.5</v>
      </c>
      <c r="K67" s="7" t="n">
        <v>1</v>
      </c>
      <c r="L67" s="7" t="n">
        <v>0</v>
      </c>
      <c r="M67" s="7" t="n">
        <v>0</v>
      </c>
      <c r="N67" s="9">
        <f>IF(K67&gt;1,K67*G67*3&amp;" × "&amp;H67*3&amp;"（"&amp;K67&amp;" 帧横排）",G67*3&amp;" × "&amp;H67*3)</f>
        <v/>
      </c>
    </row>
    <row r="68">
      <c r="A68" s="6" t="inlineStr">
        <is>
          <t>shot.sniper</t>
        </is>
      </c>
      <c r="B68" s="9" t="inlineStr">
        <is>
          <t>子弹</t>
        </is>
      </c>
      <c r="C68" s="9" t="inlineStr">
        <is>
          <t>无人机空投的鞋盒：fly（下落）+ hit（砸地）</t>
        </is>
      </c>
      <c r="D68" s="9" t="inlineStr">
        <is>
          <t>P2</t>
        </is>
      </c>
      <c r="E68" s="8" t="inlineStr">
        <is>
          <t>art/shot.sniper.png</t>
        </is>
      </c>
      <c r="F68" s="8" t="inlineStr">
        <is>
          <t>art/shot.sniper.json</t>
        </is>
      </c>
      <c r="G68" s="7" t="n">
        <v>19.1</v>
      </c>
      <c r="H68" s="7" t="n">
        <v>19.1</v>
      </c>
      <c r="I68" s="7" t="n">
        <v>0.5</v>
      </c>
      <c r="J68" s="7" t="n">
        <v>1</v>
      </c>
      <c r="K68" s="7" t="n">
        <v>1</v>
      </c>
      <c r="L68" s="7" t="n">
        <v>0</v>
      </c>
      <c r="M68" s="7" t="n">
        <v>0</v>
      </c>
      <c r="N68" s="9">
        <f>IF(K68&gt;1,K68*G68*3&amp;" × "&amp;H68*3&amp;"（"&amp;K68&amp;" 帧横排）",G68*3&amp;" × "&amp;H68*3)</f>
        <v/>
      </c>
    </row>
    <row r="69">
      <c r="A69" s="6" t="inlineStr">
        <is>
          <t>fx.peel</t>
        </is>
      </c>
      <c r="B69" s="9" t="inlineStr">
        <is>
          <t>地面效果</t>
        </is>
      </c>
      <c r="C69" s="9" t="inlineStr">
        <is>
          <t>落在跑道上的香蕉皮</t>
        </is>
      </c>
      <c r="D69" s="9" t="inlineStr">
        <is>
          <t>P2</t>
        </is>
      </c>
      <c r="E69" s="8" t="inlineStr">
        <is>
          <t>art/fx.peel.png</t>
        </is>
      </c>
      <c r="F69" s="8" t="inlineStr"/>
      <c r="G69" s="7" t="n">
        <v>18</v>
      </c>
      <c r="H69" s="7" t="n">
        <v>18</v>
      </c>
      <c r="I69" s="7" t="n">
        <v>0.5</v>
      </c>
      <c r="J69" s="7" t="n">
        <v>0.5</v>
      </c>
      <c r="K69" s="7" t="n">
        <v>1</v>
      </c>
      <c r="L69" s="7" t="n">
        <v>0</v>
      </c>
      <c r="M69" s="7" t="n">
        <v>0</v>
      </c>
      <c r="N69" s="9">
        <f>IF(K69&gt;1,K69*G69*3&amp;" × "&amp;H69*3&amp;"（"&amp;K69&amp;" 帧横排）",G69*3&amp;" × "&amp;H69*3)</f>
        <v/>
      </c>
    </row>
    <row r="70">
      <c r="A70" s="6" t="inlineStr">
        <is>
          <t>icon.wave</t>
        </is>
      </c>
      <c r="B70" s="9" t="inlineStr">
        <is>
          <t>界面图标</t>
        </is>
      </c>
      <c r="C70" s="9" t="inlineStr">
        <is>
          <t>顶栏「波次」图标</t>
        </is>
      </c>
      <c r="D70" s="9" t="inlineStr">
        <is>
          <t>P2</t>
        </is>
      </c>
      <c r="E70" s="8" t="inlineStr"/>
      <c r="F70" s="8" t="inlineStr"/>
      <c r="G70" s="7" t="n">
        <v>38</v>
      </c>
      <c r="H70" s="7" t="n">
        <v>38</v>
      </c>
      <c r="I70" s="7" t="n">
        <v>0.5</v>
      </c>
      <c r="J70" s="7" t="n">
        <v>0.5</v>
      </c>
      <c r="K70" s="7" t="n">
        <v>1</v>
      </c>
      <c r="L70" s="7" t="n">
        <v>0</v>
      </c>
      <c r="M70" s="7" t="n">
        <v>0</v>
      </c>
      <c r="N70" s="9">
        <f>IF(K70&gt;1,K70*G70*3&amp;" × "&amp;H70*3&amp;"（"&amp;K70&amp;" 帧横排）",G70*3&amp;" × "&amp;H70*3)</f>
        <v/>
      </c>
    </row>
    <row r="71">
      <c r="A71" s="6" t="inlineStr">
        <is>
          <t>icon.lives</t>
        </is>
      </c>
      <c r="B71" s="9" t="inlineStr">
        <is>
          <t>界面图标</t>
        </is>
      </c>
      <c r="C71" s="9" t="inlineStr">
        <is>
          <t>顶栏「生命」图标（心形）</t>
        </is>
      </c>
      <c r="D71" s="9" t="inlineStr">
        <is>
          <t>P2</t>
        </is>
      </c>
      <c r="E71" s="8" t="inlineStr"/>
      <c r="F71" s="8" t="inlineStr"/>
      <c r="G71" s="7" t="n">
        <v>38</v>
      </c>
      <c r="H71" s="7" t="n">
        <v>38</v>
      </c>
      <c r="I71" s="7" t="n">
        <v>0.5</v>
      </c>
      <c r="J71" s="7" t="n">
        <v>0.5</v>
      </c>
      <c r="K71" s="7" t="n">
        <v>1</v>
      </c>
      <c r="L71" s="7" t="n">
        <v>0</v>
      </c>
      <c r="M71" s="7" t="n">
        <v>0</v>
      </c>
      <c r="N71" s="9">
        <f>IF(K71&gt;1,K71*G71*3&amp;" × "&amp;H71*3&amp;"（"&amp;K71&amp;" 帧横排）",G71*3&amp;" × "&amp;H71*3)</f>
        <v/>
      </c>
    </row>
    <row r="72">
      <c r="A72" s="6" t="inlineStr">
        <is>
          <t>icon.gst</t>
        </is>
      </c>
      <c r="B72" s="9" t="inlineStr">
        <is>
          <t>界面图标</t>
        </is>
      </c>
      <c r="C72" s="9" t="inlineStr">
        <is>
          <t>顶栏「GST」图标</t>
        </is>
      </c>
      <c r="D72" s="9" t="inlineStr">
        <is>
          <t>P2</t>
        </is>
      </c>
      <c r="E72" s="8" t="inlineStr"/>
      <c r="F72" s="8" t="inlineStr"/>
      <c r="G72" s="7" t="n">
        <v>38</v>
      </c>
      <c r="H72" s="7" t="n">
        <v>38</v>
      </c>
      <c r="I72" s="7" t="n">
        <v>0.5</v>
      </c>
      <c r="J72" s="7" t="n">
        <v>0.5</v>
      </c>
      <c r="K72" s="7" t="n">
        <v>1</v>
      </c>
      <c r="L72" s="7" t="n">
        <v>0</v>
      </c>
      <c r="M72" s="7" t="n">
        <v>0</v>
      </c>
      <c r="N72" s="9">
        <f>IF(K72&gt;1,K72*G72*3&amp;" × "&amp;H72*3&amp;"（"&amp;K72&amp;" 帧横排）",G72*3&amp;" × "&amp;H72*3)</f>
        <v/>
      </c>
    </row>
    <row r="73">
      <c r="A73" s="6" t="inlineStr">
        <is>
          <t>icon.score</t>
        </is>
      </c>
      <c r="B73" s="9" t="inlineStr">
        <is>
          <t>界面图标</t>
        </is>
      </c>
      <c r="C73" s="9" t="inlineStr">
        <is>
          <t>顶栏「分数」图标</t>
        </is>
      </c>
      <c r="D73" s="9" t="inlineStr">
        <is>
          <t>P2</t>
        </is>
      </c>
      <c r="E73" s="8" t="inlineStr"/>
      <c r="F73" s="8" t="inlineStr"/>
      <c r="G73" s="7" t="n">
        <v>38</v>
      </c>
      <c r="H73" s="7" t="n">
        <v>38</v>
      </c>
      <c r="I73" s="7" t="n">
        <v>0.5</v>
      </c>
      <c r="J73" s="7" t="n">
        <v>0.5</v>
      </c>
      <c r="K73" s="7" t="n">
        <v>1</v>
      </c>
      <c r="L73" s="7" t="n">
        <v>0</v>
      </c>
      <c r="M73" s="7" t="n">
        <v>0</v>
      </c>
      <c r="N73" s="9">
        <f>IF(K73&gt;1,K73*G73*3&amp;" × "&amp;H73*3&amp;"（"&amp;K73&amp;" 帧横排）",G73*3&amp;" × "&amp;H73*3)</f>
        <v/>
      </c>
    </row>
    <row r="74">
      <c r="A74" s="6" t="inlineStr">
        <is>
          <t>tower.dart.A1</t>
        </is>
      </c>
      <c r="B74" s="9" t="inlineStr">
        <is>
          <t>装置变种</t>
        </is>
      </c>
      <c r="C74" s="9" t="inlineStr">
        <is>
          <t>易拉罐投手「重罐点名」1 级挂件：挂一个秤砣</t>
        </is>
      </c>
      <c r="D74" s="9" t="inlineStr">
        <is>
          <t>P2</t>
        </is>
      </c>
      <c r="E74" s="8" t="inlineStr">
        <is>
          <t>art/tower.dart.A1.png</t>
        </is>
      </c>
      <c r="F74" s="8" t="inlineStr">
        <is>
          <t>art/tower.dart.A1.json</t>
        </is>
      </c>
      <c r="G74" s="7" t="n">
        <v>44.6</v>
      </c>
      <c r="H74" s="7" t="n">
        <v>46.5</v>
      </c>
      <c r="I74" s="7" t="n">
        <v>0.5</v>
      </c>
      <c r="J74" s="7" t="n">
        <v>0.92</v>
      </c>
      <c r="K74" s="7" t="n">
        <v>1</v>
      </c>
      <c r="L74" s="7" t="n">
        <v>0</v>
      </c>
      <c r="M74" s="7" t="n">
        <v>0</v>
      </c>
      <c r="N74" s="9">
        <f>IF(K74&gt;1,K74*G74*3&amp;" × "&amp;H74*3&amp;"（"&amp;K74&amp;" 帧横排）",G74*3&amp;" × "&amp;H74*3)</f>
        <v/>
      </c>
    </row>
    <row r="75">
      <c r="A75" s="6" t="inlineStr">
        <is>
          <t>tower.dart.A2</t>
        </is>
      </c>
      <c r="B75" s="9" t="inlineStr">
        <is>
          <t>装置变种</t>
        </is>
      </c>
      <c r="C75" s="9" t="inlineStr">
        <is>
          <t>易拉罐投手「重罐点名」2 级挂件：两侧各挂一个秤砣</t>
        </is>
      </c>
      <c r="D75" s="9" t="inlineStr">
        <is>
          <t>P2</t>
        </is>
      </c>
      <c r="E75" s="8" t="inlineStr">
        <is>
          <t>art/tower.dart.A2.png</t>
        </is>
      </c>
      <c r="F75" s="8" t="inlineStr">
        <is>
          <t>art/tower.dart.A2.json</t>
        </is>
      </c>
      <c r="G75" s="7" t="n">
        <v>44.6</v>
      </c>
      <c r="H75" s="7" t="n">
        <v>46.5</v>
      </c>
      <c r="I75" s="7" t="n">
        <v>0.5</v>
      </c>
      <c r="J75" s="7" t="n">
        <v>0.92</v>
      </c>
      <c r="K75" s="7" t="n">
        <v>1</v>
      </c>
      <c r="L75" s="7" t="n">
        <v>0</v>
      </c>
      <c r="M75" s="7" t="n">
        <v>0</v>
      </c>
      <c r="N75" s="9">
        <f>IF(K75&gt;1,K75*G75*3&amp;" × "&amp;H75*3&amp;"（"&amp;K75&amp;" 帧横排）",G75*3&amp;" × "&amp;H75*3)</f>
        <v/>
      </c>
    </row>
    <row r="76">
      <c r="A76" s="6" t="inlineStr">
        <is>
          <t>shot.dart.A3</t>
        </is>
      </c>
      <c r="B76" s="9" t="inlineStr">
        <is>
          <t>子弹</t>
        </is>
      </c>
      <c r="C76" s="9" t="inlineStr">
        <is>
          <t>投掷物「重罐点名」3 级：蓄力铜罐</t>
        </is>
      </c>
      <c r="D76" s="9" t="inlineStr">
        <is>
          <t>P2</t>
        </is>
      </c>
      <c r="E76" s="8" t="inlineStr">
        <is>
          <t>art/shot.dart.A3.png</t>
        </is>
      </c>
      <c r="F76" s="8" t="inlineStr">
        <is>
          <t>art/shot.dart.A3.json</t>
        </is>
      </c>
      <c r="G76" s="7" t="n">
        <v>21.2</v>
      </c>
      <c r="H76" s="7" t="n">
        <v>21.2</v>
      </c>
      <c r="I76" s="7" t="n">
        <v>0.5</v>
      </c>
      <c r="J76" s="7" t="n">
        <v>0.5</v>
      </c>
      <c r="K76" s="7" t="n">
        <v>1</v>
      </c>
      <c r="L76" s="7" t="n">
        <v>0</v>
      </c>
      <c r="M76" s="7" t="n">
        <v>0</v>
      </c>
      <c r="N76" s="9">
        <f>IF(K76&gt;1,K76*G76*3&amp;" × "&amp;H76*3&amp;"（"&amp;K76&amp;" 帧横排）",G76*3&amp;" × "&amp;H76*3)</f>
        <v/>
      </c>
    </row>
    <row r="77">
      <c r="A77" s="6" t="inlineStr">
        <is>
          <t>tower.dart.A4</t>
        </is>
      </c>
      <c r="B77" s="9" t="inlineStr">
        <is>
          <t>装置变种</t>
        </is>
      </c>
      <c r="C77" s="9" t="inlineStr">
        <is>
          <t>易拉罐投手「重罐点名」4 级：破防刺罐</t>
        </is>
      </c>
      <c r="D77" s="9" t="inlineStr">
        <is>
          <t>P2</t>
        </is>
      </c>
      <c r="E77" s="8" t="inlineStr">
        <is>
          <t>art/tower.dart.A4.png</t>
        </is>
      </c>
      <c r="F77" s="8" t="inlineStr">
        <is>
          <t>art/tower.dart.A4.json</t>
        </is>
      </c>
      <c r="G77" s="7" t="n">
        <v>44.6</v>
      </c>
      <c r="H77" s="7" t="n">
        <v>46.5</v>
      </c>
      <c r="I77" s="7" t="n">
        <v>0.5</v>
      </c>
      <c r="J77" s="7" t="n">
        <v>0.92</v>
      </c>
      <c r="K77" s="7" t="n">
        <v>1</v>
      </c>
      <c r="L77" s="7" t="n">
        <v>0</v>
      </c>
      <c r="M77" s="7" t="n">
        <v>0</v>
      </c>
      <c r="N77" s="9">
        <f>IF(K77&gt;1,K77*G77*3&amp;" × "&amp;H77*3&amp;"（"&amp;K77&amp;" 帧横排）",G77*3&amp;" × "&amp;H77*3)</f>
        <v/>
      </c>
    </row>
    <row r="78">
      <c r="A78" s="6" t="inlineStr">
        <is>
          <t>shot.dart.A4</t>
        </is>
      </c>
      <c r="B78" s="9" t="inlineStr">
        <is>
          <t>子弹</t>
        </is>
      </c>
      <c r="C78" s="9" t="inlineStr">
        <is>
          <t>投掷物「重罐点名」4 级：破防刺罐</t>
        </is>
      </c>
      <c r="D78" s="9" t="inlineStr">
        <is>
          <t>P2</t>
        </is>
      </c>
      <c r="E78" s="8" t="inlineStr">
        <is>
          <t>art/shot.dart.A4.png</t>
        </is>
      </c>
      <c r="F78" s="8" t="inlineStr">
        <is>
          <t>art/shot.dart.A4.json</t>
        </is>
      </c>
      <c r="G78" s="7" t="n">
        <v>21</v>
      </c>
      <c r="H78" s="7" t="n">
        <v>21</v>
      </c>
      <c r="I78" s="7" t="n">
        <v>0.5</v>
      </c>
      <c r="J78" s="7" t="n">
        <v>0.5</v>
      </c>
      <c r="K78" s="7" t="n">
        <v>1</v>
      </c>
      <c r="L78" s="7" t="n">
        <v>0</v>
      </c>
      <c r="M78" s="7" t="n">
        <v>0</v>
      </c>
      <c r="N78" s="9">
        <f>IF(K78&gt;1,K78*G78*3&amp;" × "&amp;H78*3&amp;"（"&amp;K78&amp;" 帧横排）",G78*3&amp;" × "&amp;H78*3)</f>
        <v/>
      </c>
    </row>
    <row r="79">
      <c r="A79" s="6" t="inlineStr">
        <is>
          <t>tower.dart.A5</t>
        </is>
      </c>
      <c r="B79" s="9" t="inlineStr">
        <is>
          <t>装置变种</t>
        </is>
      </c>
      <c r="C79" s="9" t="inlineStr">
        <is>
          <t>易拉罐投手「重罐点名」5 级：手雷</t>
        </is>
      </c>
      <c r="D79" s="9" t="inlineStr">
        <is>
          <t>P2</t>
        </is>
      </c>
      <c r="E79" s="8" t="inlineStr">
        <is>
          <t>art/tower.dart.A5.png</t>
        </is>
      </c>
      <c r="F79" s="8" t="inlineStr">
        <is>
          <t>art/tower.dart.A5.json</t>
        </is>
      </c>
      <c r="G79" s="7" t="n">
        <v>44.6</v>
      </c>
      <c r="H79" s="7" t="n">
        <v>46.5</v>
      </c>
      <c r="I79" s="7" t="n">
        <v>0.5</v>
      </c>
      <c r="J79" s="7" t="n">
        <v>0.92</v>
      </c>
      <c r="K79" s="7" t="n">
        <v>1</v>
      </c>
      <c r="L79" s="7" t="n">
        <v>0</v>
      </c>
      <c r="M79" s="7" t="n">
        <v>0</v>
      </c>
      <c r="N79" s="9">
        <f>IF(K79&gt;1,K79*G79*3&amp;" × "&amp;H79*3&amp;"（"&amp;K79&amp;" 帧横排）",G79*3&amp;" × "&amp;H79*3)</f>
        <v/>
      </c>
    </row>
    <row r="80">
      <c r="A80" s="6" t="inlineStr">
        <is>
          <t>shot.dart.A5</t>
        </is>
      </c>
      <c r="B80" s="9" t="inlineStr">
        <is>
          <t>子弹</t>
        </is>
      </c>
      <c r="C80" s="9" t="inlineStr">
        <is>
          <t>投掷物「重罐点名」5 级：手雷</t>
        </is>
      </c>
      <c r="D80" s="9" t="inlineStr">
        <is>
          <t>P2</t>
        </is>
      </c>
      <c r="E80" s="8" t="inlineStr">
        <is>
          <t>art/shot.dart.A5.png</t>
        </is>
      </c>
      <c r="F80" s="8" t="inlineStr">
        <is>
          <t>art/shot.dart.A5.json</t>
        </is>
      </c>
      <c r="G80" s="7" t="n">
        <v>23.4</v>
      </c>
      <c r="H80" s="7" t="n">
        <v>23.4</v>
      </c>
      <c r="I80" s="7" t="n">
        <v>0.5</v>
      </c>
      <c r="J80" s="7" t="n">
        <v>0.5</v>
      </c>
      <c r="K80" s="7" t="n">
        <v>1</v>
      </c>
      <c r="L80" s="7" t="n">
        <v>0</v>
      </c>
      <c r="M80" s="7" t="n">
        <v>0</v>
      </c>
      <c r="N80" s="9">
        <f>IF(K80&gt;1,K80*G80*3&amp;" × "&amp;H80*3&amp;"（"&amp;K80&amp;" 帧横排）",G80*3&amp;" × "&amp;H80*3)</f>
        <v/>
      </c>
    </row>
    <row r="81">
      <c r="A81" s="6" t="inlineStr">
        <is>
          <t>shot.dart.A6</t>
        </is>
      </c>
      <c r="B81" s="9" t="inlineStr">
        <is>
          <t>子弹</t>
        </is>
      </c>
      <c r="C81" s="9" t="inlineStr">
        <is>
          <t>投掷物「重罐点名」6 级：双层底座 + 陨石</t>
        </is>
      </c>
      <c r="D81" s="9" t="inlineStr">
        <is>
          <t>P2</t>
        </is>
      </c>
      <c r="E81" s="8" t="inlineStr">
        <is>
          <t>art/shot.dart.A6.png</t>
        </is>
      </c>
      <c r="F81" s="8" t="inlineStr">
        <is>
          <t>art/shot.dart.A6.json</t>
        </is>
      </c>
      <c r="G81" s="7" t="n">
        <v>42.9</v>
      </c>
      <c r="H81" s="7" t="n">
        <v>42.9</v>
      </c>
      <c r="I81" s="7" t="n">
        <v>0.5</v>
      </c>
      <c r="J81" s="7" t="n">
        <v>0.5</v>
      </c>
      <c r="K81" s="7" t="n">
        <v>1</v>
      </c>
      <c r="L81" s="7" t="n">
        <v>0</v>
      </c>
      <c r="M81" s="7" t="n">
        <v>0</v>
      </c>
      <c r="N81" s="9">
        <f>IF(K81&gt;1,K81*G81*3&amp;" × "&amp;H81*3&amp;"（"&amp;K81&amp;" 帧横排）",G81*3&amp;" × "&amp;H81*3)</f>
        <v/>
      </c>
    </row>
    <row r="82">
      <c r="A82" s="6" t="inlineStr">
        <is>
          <t>fx.drone</t>
        </is>
      </c>
      <c r="B82" s="9" t="inlineStr">
        <is>
          <t>特效</t>
        </is>
      </c>
      <c r="C82" s="9" t="inlineStr">
        <is>
          <t>鞋盒无人机送货飞行（fly 循环，pivot 在机身中心）</t>
        </is>
      </c>
      <c r="D82" s="9" t="inlineStr">
        <is>
          <t>P2</t>
        </is>
      </c>
      <c r="E82" s="8" t="inlineStr">
        <is>
          <t>art/fx.drone.png</t>
        </is>
      </c>
      <c r="F82" s="8" t="inlineStr">
        <is>
          <t>art/fx.drone.json</t>
        </is>
      </c>
      <c r="G82" s="7" t="n">
        <v>48.9</v>
      </c>
      <c r="H82" s="7" t="n">
        <v>33.2</v>
      </c>
      <c r="I82" s="7" t="n">
        <v>0.5</v>
      </c>
      <c r="J82" s="7" t="n">
        <v>0.5</v>
      </c>
      <c r="K82" s="7" t="n">
        <v>1</v>
      </c>
      <c r="L82" s="7" t="n">
        <v>0</v>
      </c>
      <c r="M82" s="7" t="n">
        <v>0</v>
      </c>
      <c r="N82" s="9">
        <f>IF(K82&gt;1,K82*G82*3&amp;" × "&amp;H82*3&amp;"（"&amp;K82&amp;" 帧横排）",G82*3&amp;" × "&amp;H82*3)</f>
        <v/>
      </c>
    </row>
    <row r="84">
      <c r="A84" s="10" t="inlineStr">
        <is>
          <t>※ 图片地址填公开可访问的 https:// 链接（PNG / WebP，透明背景）；也可以不填，直接在游戏页面点「导入美术图片」，把文件名改成资源编号（如 tower.dart.png）一次选多张。</t>
        </is>
      </c>
    </row>
    <row r="85">
      <c r="A85" s="10" t="inlineStr">
        <is>
          <t>※ 游戏内宽高以 360 × 600 的画布为单位；出图按 3 倍像素（见最后一列），游戏会缩放到这里填的尺寸。</t>
        </is>
      </c>
    </row>
    <row r="86">
      <c r="A86" s="10" t="inlineStr">
        <is>
          <t>※ 锚点是图片里对齐游戏坐标的那一点：0,0 = 左上角，0.5,1 = 底边中点（跑者、装置用脚底中点）。</t>
        </is>
      </c>
    </row>
    <row r="87">
      <c r="A87" s="10" t="inlineStr">
        <is>
          <t>※ 帧数 &gt; 1 时，图片是横向排开的序列帧（每帧等宽），按帧率循环播放。跑者、Boss 统一画成「侧面向右跑」，向左时游戏自动水平翻转。</t>
        </is>
      </c>
    </row>
    <row r="88">
      <c r="A88" s="10" t="inlineStr">
        <is>
          <t>※ 装置变种图 tower.xxx.A3 / A6（B、C 同理）：该路线成为主路线并升到 3 级 / 6 级时替换基础图；没给就往下找，最后用基础图。导入时文件名里的装置也可以写 can / banana / sprinkler / drone / speaker / chill。</t>
        </is>
      </c>
    </row>
    <row r="89">
      <c r="A89"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90">
      <c r="A90" s="10" t="inlineStr">
        <is>
          <t>※ 子弹只画外观：fly 画朝右，游戏沿弹道自动旋转；弹道类型、速度、抛物线高度在「弹道」表里调。</t>
        </is>
      </c>
    </row>
    <row r="91">
      <c r="A91" s="10" t="inlineStr">
        <is>
          <t>※ 优先级：P1 样板关（先画这些就能完整玩一张图）→ P2 → P3。</t>
        </is>
      </c>
    </row>
  </sheetData>
  <dataValidations count="1">
    <dataValidation sqref="M3:M82"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3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6 种装置：易拉罐投手（单体）、香蕉皮投手（范围滑倒）、洒水器（减速、冻结）、鞋盒无人机（全图空投）、广场舞音响（神曲连锁传播）、宝石发射器（红黄蓝三种宝石）。每种 3 条路线、每条 5 级；主路线可升满，次路线最多 2 级。</t>
        </is>
      </c>
      <c r="B4" s="8" t="inlineStr">
        <is>
          <t>6 种装置：易拉罐投手（单体）、香蕉皮投手（范围滑倒）、洒水器（减速、冻结）、鞋盒无人机（全图空投）、广场舞音响（神曲连锁传播）、宝石发射器（红黄蓝三种宝石）。每种 3 条路线、每条 5 级；主路线可升满，次路线最多 2 级。</t>
        </is>
      </c>
      <c r="C4"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4"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5">
      <c r="A5" s="6" t="inlineStr">
        <is>
          <t>Boss 波</t>
        </is>
      </c>
      <c r="B5" s="8" t="inlineStr">
        <is>
          <t>Boss 波</t>
        </is>
      </c>
      <c r="C5" s="8" t="inlineStr">
        <is>
          <t>Boss wave</t>
        </is>
      </c>
      <c r="D5" s="8" t="inlineStr">
        <is>
          <t>Vague de boss</t>
        </is>
      </c>
    </row>
    <row r="6">
      <c r="A6" s="6" t="inlineStr">
        <is>
          <t>Boss：{n}（{t}）</t>
        </is>
      </c>
      <c r="B6" s="8" t="inlineStr">
        <is>
          <t>Boss：{n}（{t}）</t>
        </is>
      </c>
      <c r="C6" s="8" t="inlineStr">
        <is>
          <t>Boss: {n} ({t})</t>
        </is>
      </c>
      <c r="D6" s="8" t="inlineStr">
        <is>
          <t>Boss : {n} ({t})</t>
        </is>
      </c>
    </row>
    <row r="7">
      <c r="A7" s="6" t="inlineStr">
        <is>
          <t>Nox 九命</t>
        </is>
      </c>
      <c r="B7" s="8" t="inlineStr">
        <is>
          <t>Nox 九命</t>
        </is>
      </c>
      <c r="C7" s="8" t="inlineStr">
        <is>
          <t>Nox: Nine Lives</t>
        </is>
      </c>
      <c r="D7" s="8" t="inlineStr">
        <is>
          <t>Nox : neuf vies</t>
        </is>
      </c>
    </row>
    <row r="8">
      <c r="A8" s="6" t="inlineStr">
        <is>
          <t>{n} 名跑者</t>
        </is>
      </c>
      <c r="B8" s="8" t="inlineStr">
        <is>
          <t>{n} 名跑者</t>
        </is>
      </c>
      <c r="C8" s="8" t="inlineStr">
        <is>
          <t>{n} runners</t>
        </is>
      </c>
      <c r="D8" s="8" t="inlineStr">
        <is>
          <t>{n} coureurs</t>
        </is>
      </c>
    </row>
    <row r="9">
      <c r="A9" s="6" t="inlineStr">
        <is>
          <t>{n} 张</t>
        </is>
      </c>
      <c r="B9" s="8" t="inlineStr">
        <is>
          <t>{n} 张</t>
        </is>
      </c>
      <c r="C9" s="8" t="inlineStr">
        <is>
          <t>{n} cards</t>
        </is>
      </c>
      <c r="D9" s="8" t="inlineStr">
        <is>
          <t>{n} cartes</t>
        </is>
      </c>
    </row>
    <row r="10">
      <c r="A10" s="6" t="inlineStr">
        <is>
          <t>{n} 级 · {x}</t>
        </is>
      </c>
      <c r="B10" s="8" t="inlineStr">
        <is>
          <t>{n} 级 · {x}</t>
        </is>
      </c>
      <c r="C10" s="8" t="inlineStr">
        <is>
          <t>Tier {n} · {x}</t>
        </is>
      </c>
      <c r="D10" s="8" t="inlineStr">
        <is>
          <t>Niv. {n} · {x}</t>
        </is>
      </c>
    </row>
    <row r="11">
      <c r="A11" s="6" t="inlineStr">
        <is>
          <t>{x} {n} 秒后开始</t>
        </is>
      </c>
      <c r="B11" s="8" t="inlineStr">
        <is>
          <t>{x} {n} 秒后开始</t>
        </is>
      </c>
      <c r="C11" s="8" t="inlineStr">
        <is>
          <t>{x} starts in {n} s</t>
        </is>
      </c>
      <c r="D11" s="8" t="inlineStr">
        <is>
          <t>{x} dans {n} s</t>
        </is>
      </c>
    </row>
    <row r="12">
      <c r="A12" s="6" t="inlineStr">
        <is>
          <t>{x} 退赛！</t>
        </is>
      </c>
      <c r="B12" s="8" t="inlineStr">
        <is>
          <t>{x} 退赛！</t>
        </is>
      </c>
      <c r="C12" s="8" t="inlineStr">
        <is>
          <t>{x} quits!</t>
        </is>
      </c>
      <c r="D12" s="8" t="inlineStr">
        <is>
          <t>{x} abandonne !</t>
        </is>
      </c>
    </row>
    <row r="13">
      <c r="A13" s="6" t="inlineStr">
        <is>
          <t>{x}徽章</t>
        </is>
      </c>
      <c r="B13" s="8" t="inlineStr">
        <is>
          <t>{x}徽章</t>
        </is>
      </c>
      <c r="C13" s="8" t="inlineStr">
        <is>
          <t>{x} Badge</t>
        </is>
      </c>
      <c r="D13" s="8" t="inlineStr">
        <is>
          <t>Badge {x}</t>
        </is>
      </c>
    </row>
    <row r="14">
      <c r="A14" s="6" t="inlineStr">
        <is>
          <t>{x}效果 +25%，升级费用 −20%</t>
        </is>
      </c>
      <c r="B14" s="8" t="inlineStr">
        <is>
          <t>{x}效果 +25%，升级费用 −20%</t>
        </is>
      </c>
      <c r="C14" s="8" t="inlineStr">
        <is>
          <t>{x}: effect +25%, upgrades −20%</t>
        </is>
      </c>
      <c r="D14" s="8" t="inlineStr">
        <is>
          <t>{x} : effet +25 %, améliorations −20 %</t>
        </is>
      </c>
    </row>
    <row r="15">
      <c r="A15" s="6" t="inlineStr">
        <is>
          <t>下一波</t>
        </is>
      </c>
      <c r="B15" s="8" t="inlineStr">
        <is>
          <t>下一波</t>
        </is>
      </c>
      <c r="C15" s="8" t="inlineStr">
        <is>
          <t>Next wave</t>
        </is>
      </c>
      <c r="D15" s="8" t="inlineStr">
        <is>
          <t>Vague suivante</t>
        </is>
      </c>
    </row>
    <row r="16">
      <c r="A16" s="6" t="inlineStr">
        <is>
          <t>下一波 Boss：{x}。</t>
        </is>
      </c>
      <c r="B16" s="8" t="inlineStr">
        <is>
          <t>下一波 Boss：{x}。</t>
        </is>
      </c>
      <c r="C16" s="8" t="inlineStr">
        <is>
          <t>Next wave boss: {x}.</t>
        </is>
      </c>
      <c r="D16" s="8" t="inlineStr">
        <is>
          <t>Boss de la prochaine vague : {x}.</t>
        </is>
      </c>
    </row>
    <row r="17">
      <c r="A17" s="6" t="inlineStr">
        <is>
          <t>主路线</t>
        </is>
      </c>
      <c r="B17" s="8" t="inlineStr">
        <is>
          <t>主路线</t>
        </is>
      </c>
      <c r="C17" s="8" t="inlineStr">
        <is>
          <t>Main</t>
        </is>
      </c>
      <c r="D17" s="8" t="inlineStr">
        <is>
          <t>Principale</t>
        </is>
      </c>
    </row>
    <row r="18">
      <c r="A18" s="6" t="inlineStr">
        <is>
          <t>交易</t>
        </is>
      </c>
      <c r="B18" s="8" t="inlineStr">
        <is>
          <t>交易</t>
        </is>
      </c>
      <c r="C18" s="8" t="inlineStr">
        <is>
          <t>Deal</t>
        </is>
      </c>
      <c r="D18" s="8" t="inlineStr">
        <is>
          <t>Pacte</t>
        </is>
      </c>
    </row>
    <row r="19">
      <c r="A19" s="6" t="inlineStr">
        <is>
          <t>传播</t>
        </is>
      </c>
      <c r="B19" s="8" t="inlineStr">
        <is>
          <t>传播</t>
        </is>
      </c>
      <c r="C19" s="8" t="inlineStr">
        <is>
          <t>Chain</t>
        </is>
      </c>
      <c r="D19" s="8" t="inlineStr">
        <is>
          <t>Chaîne</t>
        </is>
      </c>
    </row>
    <row r="20">
      <c r="A20" s="6" t="inlineStr">
        <is>
          <t>传说</t>
        </is>
      </c>
      <c r="B20" s="8" t="inlineStr">
        <is>
          <t>传说</t>
        </is>
      </c>
      <c r="C20" s="8" t="inlineStr">
        <is>
          <t>Legendary</t>
        </is>
      </c>
      <c r="D20" s="8" t="inlineStr">
        <is>
          <t>Légendaire</t>
        </is>
      </c>
    </row>
    <row r="21">
      <c r="A21" s="6" t="inlineStr">
        <is>
          <t>体力 +40%</t>
        </is>
      </c>
      <c r="B21" s="8" t="inlineStr">
        <is>
          <t>体力 +40%</t>
        </is>
      </c>
      <c r="C21" s="8" t="inlineStr">
        <is>
          <t>Stamina +40%</t>
        </is>
      </c>
      <c r="D21" s="8" t="inlineStr">
        <is>
          <t>Endurance +40 %</t>
        </is>
      </c>
    </row>
    <row r="22">
      <c r="A22" s="6" t="inlineStr">
        <is>
          <t>全图</t>
        </is>
      </c>
      <c r="B22" s="8" t="inlineStr">
        <is>
          <t>全图</t>
        </is>
      </c>
      <c r="C22" s="8" t="inlineStr">
        <is>
          <t>Global</t>
        </is>
      </c>
      <c r="D22" s="8" t="inlineStr">
        <is>
          <t>Carte</t>
        </is>
      </c>
    </row>
    <row r="23">
      <c r="A23" s="6" t="inlineStr">
        <is>
          <t>再来一局</t>
        </is>
      </c>
      <c r="B23" s="8" t="inlineStr">
        <is>
          <t>再来一局</t>
        </is>
      </c>
      <c r="C23" s="8" t="inlineStr">
        <is>
          <t>Play again</t>
        </is>
      </c>
      <c r="D23" s="8" t="inlineStr">
        <is>
          <t>Rejouer</t>
        </is>
      </c>
    </row>
    <row r="24">
      <c r="A24" s="6" t="inlineStr">
        <is>
          <t>冲线！</t>
        </is>
      </c>
      <c r="B24" s="8" t="inlineStr">
        <is>
          <t>冲线！</t>
        </is>
      </c>
      <c r="C24" s="8" t="inlineStr">
        <is>
          <t>Crossed!</t>
        </is>
      </c>
      <c r="D24" s="8" t="inlineStr">
        <is>
          <t>Arrivé !</t>
        </is>
      </c>
    </row>
    <row r="25">
      <c r="A25" s="6" t="inlineStr">
        <is>
          <t>减速</t>
        </is>
      </c>
      <c r="B25" s="8" t="inlineStr">
        <is>
          <t>减速</t>
        </is>
      </c>
      <c r="C25" s="8" t="inlineStr">
        <is>
          <t>Slow</t>
        </is>
      </c>
      <c r="D25" s="8" t="inlineStr">
        <is>
          <t>Ralenti</t>
        </is>
      </c>
    </row>
    <row r="26">
      <c r="A26" s="6" t="inlineStr">
        <is>
          <t>分数</t>
        </is>
      </c>
      <c r="B26" s="8" t="inlineStr">
        <is>
          <t>分数</t>
        </is>
      </c>
      <c r="C26" s="8" t="inlineStr">
        <is>
          <t>Score</t>
        </is>
      </c>
      <c r="D26" s="8" t="inlineStr">
        <is>
          <t>Score</t>
        </is>
      </c>
    </row>
    <row r="27">
      <c r="A27" s="6" t="inlineStr">
        <is>
          <t>剩余生命 / 20 × 300</t>
        </is>
      </c>
      <c r="B27" s="8" t="inlineStr">
        <is>
          <t>剩余生命 / 20 × 300</t>
        </is>
      </c>
      <c r="C27" s="8" t="inlineStr">
        <is>
          <t>Lives left / 20 × 300</t>
        </is>
      </c>
      <c r="D27" s="8" t="inlineStr">
        <is>
          <t>Vies restantes / 20 × 300</t>
        </is>
      </c>
    </row>
    <row r="28">
      <c r="A28" s="6" t="inlineStr">
        <is>
          <t>劝退 GST +{n}%</t>
        </is>
      </c>
      <c r="B28" s="8" t="inlineStr">
        <is>
          <t>劝退 GST +{n}%</t>
        </is>
      </c>
      <c r="C28" s="8" t="inlineStr">
        <is>
          <t>GST per runner +{n}%</t>
        </is>
      </c>
      <c r="D28" s="8" t="inlineStr">
        <is>
          <t>GST par coureur +{n} %</t>
        </is>
      </c>
    </row>
    <row r="29">
      <c r="A29" s="6" t="inlineStr">
        <is>
          <t>劝退率 × 600</t>
        </is>
      </c>
      <c r="B29" s="8" t="inlineStr">
        <is>
          <t>劝退率 × 600</t>
        </is>
      </c>
      <c r="C29" s="8" t="inlineStr">
        <is>
          <t>Stop rate × 600</t>
        </is>
      </c>
      <c r="D29" s="8" t="inlineStr">
        <is>
          <t>Taux d’arrêt × 600</t>
        </is>
      </c>
    </row>
    <row r="30">
      <c r="A30" s="6" t="inlineStr">
        <is>
          <t>升级半价 ×{n}</t>
        </is>
      </c>
      <c r="B30" s="8" t="inlineStr">
        <is>
          <t>升级半价 ×{n}</t>
        </is>
      </c>
      <c r="C30" s="8" t="inlineStr">
        <is>
          <t>Half-price upgrades ×{n}</t>
        </is>
      </c>
      <c r="D30" s="8" t="inlineStr">
        <is>
          <t>Améliorations à moitié prix ×{n}</t>
        </is>
      </c>
    </row>
    <row r="31">
      <c r="A31" s="6" t="inlineStr">
        <is>
          <t>原地复活！</t>
        </is>
      </c>
      <c r="B31" s="8" t="inlineStr">
        <is>
          <t>原地复活！</t>
        </is>
      </c>
      <c r="C31" s="8" t="inlineStr">
        <is>
          <t>Back on her feet!</t>
        </is>
      </c>
      <c r="D31" s="8" t="inlineStr">
        <is>
          <t>Elle se relève !</t>
        </is>
      </c>
    </row>
    <row r="32">
      <c r="A32" s="6" t="inlineStr">
        <is>
          <t>哈</t>
        </is>
      </c>
      <c r="B32" s="8" t="inlineStr">
        <is>
          <t>哈</t>
        </is>
      </c>
      <c r="C32" s="8" t="inlineStr">
        <is>
          <t>Ha</t>
        </is>
      </c>
      <c r="D32" s="8" t="inlineStr">
        <is>
          <t>Ha</t>
        </is>
      </c>
    </row>
    <row r="33">
      <c r="A33" s="6" t="inlineStr">
        <is>
          <t>哈哈哈！</t>
        </is>
      </c>
      <c r="B33" s="8" t="inlineStr">
        <is>
          <t>哈哈哈！</t>
        </is>
      </c>
      <c r="C33" s="8" t="inlineStr">
        <is>
          <t>HAHAHA!</t>
        </is>
      </c>
      <c r="D33" s="8" t="inlineStr">
        <is>
          <t>HAHAHA !</t>
        </is>
      </c>
    </row>
    <row r="34">
      <c r="A34" s="6" t="inlineStr">
        <is>
          <t>回收 · +{n} GST</t>
        </is>
      </c>
      <c r="B34" s="8" t="inlineStr">
        <is>
          <t>回收 · +{n} GST</t>
        </is>
      </c>
      <c r="C34" s="8" t="inlineStr">
        <is>
          <t>Recycle · +{n} GST</t>
        </is>
      </c>
      <c r="D34" s="8" t="inlineStr">
        <is>
          <t>Recycler · +{n} GST</t>
        </is>
      </c>
    </row>
    <row r="35">
      <c r="A35" s="6" t="inlineStr">
        <is>
          <t>奖励：30 GST</t>
        </is>
      </c>
      <c r="B35" s="8" t="inlineStr">
        <is>
          <t>奖励：30 GST</t>
        </is>
      </c>
      <c r="C35" s="8" t="inlineStr">
        <is>
          <t>Reward: 30 GST</t>
        </is>
      </c>
      <c r="D35" s="8" t="inlineStr">
        <is>
          <t>Récompense : 30 GST</t>
        </is>
      </c>
    </row>
    <row r="36">
      <c r="A36" s="6" t="inlineStr">
        <is>
          <t>奖励：60 GST + 稀有以上</t>
        </is>
      </c>
      <c r="B36" s="8" t="inlineStr">
        <is>
          <t>奖励：60 GST + 稀有以上</t>
        </is>
      </c>
      <c r="C36" s="8" t="inlineStr">
        <is>
          <t>Reward: 60 GST + rare or better</t>
        </is>
      </c>
      <c r="D36" s="8" t="inlineStr">
        <is>
          <t>Récompense : 60 GST + rare ou mieux</t>
        </is>
      </c>
    </row>
    <row r="37">
      <c r="A37" s="6" t="inlineStr">
        <is>
          <t>宝石</t>
        </is>
      </c>
      <c r="B37" s="8" t="inlineStr">
        <is>
          <t>宝石</t>
        </is>
      </c>
      <c r="C37" s="8" t="inlineStr">
        <is>
          <t>Gems</t>
        </is>
      </c>
      <c r="D37" s="8" t="inlineStr">
        <is>
          <t>Gemmes</t>
        </is>
      </c>
    </row>
    <row r="38">
      <c r="A38" s="6" t="inlineStr">
        <is>
          <t>对手体力 +{n}%</t>
        </is>
      </c>
      <c r="B38" s="8" t="inlineStr">
        <is>
          <t>对手体力 +{n}%</t>
        </is>
      </c>
      <c r="C38" s="8" t="inlineStr">
        <is>
          <t>Rival stamina +{n}%</t>
        </is>
      </c>
      <c r="D38" s="8" t="inlineStr">
        <is>
          <t>Endurance rivale +{n} %</t>
        </is>
      </c>
    </row>
    <row r="39">
      <c r="A39" s="6" t="inlineStr">
        <is>
          <t>对手公会的跑者要冲过你的领地。你用「装置」干扰他们，体力耗尽就摔倒退赛。漏过去的跑者会扣你的生命，生命归零即失守。</t>
        </is>
      </c>
      <c r="B39" s="8" t="inlineStr">
        <is>
          <t>对手公会的跑者要冲过你的领地。你用「装置」干扰他们，体力耗尽就摔倒退赛。漏过去的跑者会扣你的生命，生命归零即失守。</t>
        </is>
      </c>
      <c r="C39" s="8" t="inlineStr">
        <is>
          <t>Rival guild runners are racing through your territory. Use devices to throw them off; when their stamina runs out they trip and quit. Every runner who gets through costs you a life; at zero lives the territory falls.</t>
        </is>
      </c>
      <c r="D39" s="8" t="inlineStr">
        <is>
          <t>Les coureurs d’une guilde rivale traversent ton territoire. Utilise des dispositifs pour les gêner ; à court d’endurance, ils trébuchent et abandonnent. Chaque coureur qui passe te coûte une vie ; à zéro, le territoire tombe.</t>
        </is>
      </c>
    </row>
    <row r="40">
      <c r="A40" s="6" t="inlineStr">
        <is>
          <t>对手公会的跑者要冲过你的领地。现在只有易拉罐投手，第 3 波开始出现耐力跑者。</t>
        </is>
      </c>
      <c r="B40" s="8" t="inlineStr">
        <is>
          <t>对手公会的跑者要冲过你的领地。现在只有易拉罐投手，第 3 波开始出现耐力跑者。</t>
        </is>
      </c>
      <c r="C40" s="8" t="inlineStr">
        <is>
          <t>Rival guild runners are racing through your territory. You start with the Can Thrower; endurance runners appear from wave 3.</t>
        </is>
      </c>
      <c r="D40" s="8" t="inlineStr">
        <is>
          <t>Des coureurs rivaux traversent ton territoire. Tu commences avec le Lanceur de canettes ; les coureurs endurants arrivent à la vague 3.</t>
        </is>
      </c>
    </row>
    <row r="41">
      <c r="A41" s="6" t="inlineStr">
        <is>
          <t>对手移速 +{n}%</t>
        </is>
      </c>
      <c r="B41" s="8" t="inlineStr">
        <is>
          <t>对手移速 +{n}%</t>
        </is>
      </c>
      <c r="C41" s="8" t="inlineStr">
        <is>
          <t>Rival speed +{n}%</t>
        </is>
      </c>
      <c r="D41" s="8" t="inlineStr">
        <is>
          <t>Vitesse rivale +{n} %</t>
        </is>
      </c>
    </row>
    <row r="42">
      <c r="A42" s="6" t="inlineStr">
        <is>
          <t>对耐力跑者</t>
        </is>
      </c>
      <c r="B42" s="8" t="inlineStr">
        <is>
          <t>对耐力跑者</t>
        </is>
      </c>
      <c r="C42" s="8" t="inlineStr">
        <is>
          <t>vs endurance</t>
        </is>
      </c>
      <c r="D42" s="8" t="inlineStr">
        <is>
          <t>vs endurants</t>
        </is>
      </c>
    </row>
    <row r="43">
      <c r="A43" s="6" t="inlineStr">
        <is>
          <t>射程</t>
        </is>
      </c>
      <c r="B43" s="8" t="inlineStr">
        <is>
          <t>射程</t>
        </is>
      </c>
      <c r="C43" s="8" t="inlineStr">
        <is>
          <t>Range</t>
        </is>
      </c>
      <c r="D43" s="8" t="inlineStr">
        <is>
          <t>Portée</t>
        </is>
      </c>
    </row>
    <row r="44">
      <c r="A44" s="6" t="inlineStr">
        <is>
          <t>已在发展另外两条路线</t>
        </is>
      </c>
      <c r="B44" s="8" t="inlineStr">
        <is>
          <t>已在发展另外两条路线</t>
        </is>
      </c>
      <c r="C44" s="8" t="inlineStr">
        <is>
          <t>Already developing two other paths</t>
        </is>
      </c>
      <c r="D44" s="8" t="inlineStr">
        <is>
          <t>Deux autres voies déjà développées</t>
        </is>
      </c>
    </row>
    <row r="45">
      <c r="A45" s="6" t="inlineStr">
        <is>
          <t>已满级</t>
        </is>
      </c>
      <c r="B45" s="8" t="inlineStr">
        <is>
          <t>已满级</t>
        </is>
      </c>
      <c r="C45" s="8" t="inlineStr">
        <is>
          <t>Maxed</t>
        </is>
      </c>
      <c r="D45" s="8" t="inlineStr">
        <is>
          <t>Au max</t>
        </is>
      </c>
    </row>
    <row r="46">
      <c r="A46" s="6" t="inlineStr">
        <is>
          <t>已达上限</t>
        </is>
      </c>
      <c r="B46" s="8" t="inlineStr">
        <is>
          <t>已达上限</t>
        </is>
      </c>
      <c r="C46" s="8" t="inlineStr">
        <is>
          <t>At cap</t>
        </is>
      </c>
      <c r="D46" s="8" t="inlineStr">
        <is>
          <t>Plafond atteint</t>
        </is>
      </c>
    </row>
    <row r="47">
      <c r="A47" s="6" t="inlineStr">
        <is>
          <t>已适应：{x}</t>
        </is>
      </c>
      <c r="B47" s="8" t="inlineStr">
        <is>
          <t>已适应：{x}</t>
        </is>
      </c>
      <c r="C47" s="8" t="inlineStr">
        <is>
          <t>Adapted: {x}</t>
        </is>
      </c>
      <c r="D47" s="8" t="inlineStr">
        <is>
          <t>Adapté : {x}</t>
        </is>
      </c>
    </row>
    <row r="48">
      <c r="A48" s="6" t="inlineStr">
        <is>
          <t>开始第 1 波</t>
        </is>
      </c>
      <c r="B48" s="8" t="inlineStr">
        <is>
          <t>开始第 1 波</t>
        </is>
      </c>
      <c r="C48" s="8" t="inlineStr">
        <is>
          <t>Start wave 1</t>
        </is>
      </c>
      <c r="D48" s="8" t="inlineStr">
        <is>
          <t>Lancer la vague 1</t>
        </is>
      </c>
    </row>
    <row r="49">
      <c r="A49" s="6" t="inlineStr">
        <is>
          <t>开局：开启起手神秘箱</t>
        </is>
      </c>
      <c r="B49" s="8" t="inlineStr">
        <is>
          <t>开局：开启起手神秘箱</t>
        </is>
      </c>
      <c r="C49" s="8" t="inlineStr">
        <is>
          <t>Start: open your first Mystery Box</t>
        </is>
      </c>
      <c r="D49" s="8" t="inlineStr">
        <is>
          <t>Départ : ouvre ta première Mystery Box</t>
        </is>
      </c>
    </row>
    <row r="50">
      <c r="A50" s="6" t="inlineStr">
        <is>
          <t>开箱中</t>
        </is>
      </c>
      <c r="B50" s="8" t="inlineStr">
        <is>
          <t>开箱中</t>
        </is>
      </c>
      <c r="C50" s="8" t="inlineStr">
        <is>
          <t>Opening box</t>
        </is>
      </c>
      <c r="D50" s="8" t="inlineStr">
        <is>
          <t>Ouverture</t>
        </is>
      </c>
    </row>
    <row r="51">
      <c r="A51" s="6" t="inlineStr">
        <is>
          <t>当前全局效果：</t>
        </is>
      </c>
      <c r="B51" s="8" t="inlineStr">
        <is>
          <t>当前全局效果：</t>
        </is>
      </c>
      <c r="C51" s="8" t="inlineStr">
        <is>
          <t xml:space="preserve">Active effects: </t>
        </is>
      </c>
      <c r="D51" s="8" t="inlineStr">
        <is>
          <t xml:space="preserve">Effets actifs : </t>
        </is>
      </c>
    </row>
    <row r="52">
      <c r="A52" s="6" t="inlineStr">
        <is>
          <t>徽章</t>
        </is>
      </c>
      <c r="B52" s="8" t="inlineStr">
        <is>
          <t>徽章</t>
        </is>
      </c>
      <c r="C52" s="8" t="inlineStr">
        <is>
          <t>Badge</t>
        </is>
      </c>
      <c r="D52" s="8" t="inlineStr">
        <is>
          <t>Badge</t>
        </is>
      </c>
    </row>
    <row r="53">
      <c r="A53" s="6" t="inlineStr">
        <is>
          <t>提前开波 +{n} GST</t>
        </is>
      </c>
      <c r="B53" s="8" t="inlineStr">
        <is>
          <t>提前开波 +{n} GST</t>
        </is>
      </c>
      <c r="C53" s="8" t="inlineStr">
        <is>
          <t>Early start +{n} GST</t>
        </is>
      </c>
      <c r="D53" s="8" t="inlineStr">
        <is>
          <t>Départ anticipé +{n} GST</t>
        </is>
      </c>
    </row>
    <row r="54">
      <c r="A54" s="6" t="inlineStr">
        <is>
          <t>放置装置</t>
        </is>
      </c>
      <c r="B54" s="8" t="inlineStr">
        <is>
          <t>放置装置</t>
        </is>
      </c>
      <c r="C54" s="8" t="inlineStr">
        <is>
          <t>Place a device</t>
        </is>
      </c>
      <c r="D54" s="8" t="inlineStr">
        <is>
          <t>Placer un dispositif</t>
        </is>
      </c>
    </row>
    <row r="55">
      <c r="A55" s="6" t="inlineStr">
        <is>
          <t>放置费用 −{n}%</t>
        </is>
      </c>
      <c r="B55" s="8" t="inlineStr">
        <is>
          <t>放置费用 −{n}%</t>
        </is>
      </c>
      <c r="C55" s="8" t="inlineStr">
        <is>
          <t>Placement cost −{n}%</t>
        </is>
      </c>
      <c r="D55" s="8" t="inlineStr">
        <is>
          <t>Coût de placement −{n} %</t>
        </is>
      </c>
    </row>
    <row r="56">
      <c r="A56" s="6" t="inlineStr">
        <is>
          <t>效果</t>
        </is>
      </c>
      <c r="B56" s="8" t="inlineStr">
        <is>
          <t>效果</t>
        </is>
      </c>
      <c r="C56" s="8" t="inlineStr">
        <is>
          <t>Effect</t>
        </is>
      </c>
      <c r="D56" s="8" t="inlineStr">
        <is>
          <t>Effet</t>
        </is>
      </c>
    </row>
    <row r="57">
      <c r="A57" s="6" t="inlineStr">
        <is>
          <t>效果 +2</t>
        </is>
      </c>
      <c r="B57" s="8" t="inlineStr">
        <is>
          <t>效果 +2</t>
        </is>
      </c>
      <c r="C57" s="8" t="inlineStr">
        <is>
          <t>Effect +2</t>
        </is>
      </c>
      <c r="D57" s="8" t="inlineStr">
        <is>
          <t>Effet +2</t>
        </is>
      </c>
    </row>
    <row r="58">
      <c r="A58" s="6" t="inlineStr">
        <is>
          <t>数值没有经过试玩平衡。</t>
        </is>
      </c>
      <c r="B58" s="8" t="inlineStr">
        <is>
          <t>数值没有经过试玩平衡。</t>
        </is>
      </c>
      <c r="C58" s="8" t="inlineStr">
        <is>
          <t>Numbers are not balanced by playtesting yet.</t>
        </is>
      </c>
      <c r="D58" s="8" t="inlineStr">
        <is>
          <t>Les valeurs ne sont pas encore équilibrées.</t>
        </is>
      </c>
    </row>
    <row r="59">
      <c r="A59" s="6" t="inlineStr">
        <is>
          <t>新纪录</t>
        </is>
      </c>
      <c r="B59" s="8" t="inlineStr">
        <is>
          <t>新纪录</t>
        </is>
      </c>
      <c r="C59" s="8" t="inlineStr">
        <is>
          <t>New record</t>
        </is>
      </c>
      <c r="D59" s="8" t="inlineStr">
        <is>
          <t>Nouveau record</t>
        </is>
      </c>
    </row>
    <row r="60">
      <c r="A60" s="6" t="inlineStr">
        <is>
          <t>无漏怪波数 / 15 × 100</t>
        </is>
      </c>
      <c r="B60" s="8" t="inlineStr">
        <is>
          <t>无漏怪波数 / 15 × 100</t>
        </is>
      </c>
      <c r="C60" s="8" t="inlineStr">
        <is>
          <t>Clean waves / 15 × 100</t>
        </is>
      </c>
      <c r="D60" s="8" t="inlineStr">
        <is>
          <t>Vagues sans fuite / 15 × 100</t>
        </is>
      </c>
    </row>
    <row r="61">
      <c r="A61" s="6" t="inlineStr">
        <is>
          <t>无词缀</t>
        </is>
      </c>
      <c r="B61" s="8" t="inlineStr">
        <is>
          <t>无词缀</t>
        </is>
      </c>
      <c r="C61" s="8" t="inlineStr">
        <is>
          <t>No traits</t>
        </is>
      </c>
      <c r="D61" s="8" t="inlineStr">
        <is>
          <t>Aucun trait</t>
        </is>
      </c>
    </row>
    <row r="62">
      <c r="A62" s="6" t="inlineStr">
        <is>
          <t>普通</t>
        </is>
      </c>
      <c r="B62" s="8" t="inlineStr">
        <is>
          <t>普通</t>
        </is>
      </c>
      <c r="C62" s="8" t="inlineStr">
        <is>
          <t>Common</t>
        </is>
      </c>
      <c r="D62" s="8" t="inlineStr">
        <is>
          <t>Commun</t>
        </is>
      </c>
    </row>
    <row r="63">
      <c r="A63" s="6" t="inlineStr">
        <is>
          <t>普通跑者</t>
        </is>
      </c>
      <c r="B63" s="8" t="inlineStr">
        <is>
          <t>普通跑者</t>
        </is>
      </c>
      <c r="C63" s="8" t="inlineStr">
        <is>
          <t>Regular runners</t>
        </is>
      </c>
      <c r="D63" s="8" t="inlineStr">
        <is>
          <t>Coureurs normaux</t>
        </is>
      </c>
    </row>
    <row r="64">
      <c r="A64" s="6" t="inlineStr">
        <is>
          <t>暴击率 +{n}%</t>
        </is>
      </c>
      <c r="B64" s="8" t="inlineStr">
        <is>
          <t>暴击率 +{n}%</t>
        </is>
      </c>
      <c r="C64" s="8" t="inlineStr">
        <is>
          <t>Crit chance +{n}%</t>
        </is>
      </c>
      <c r="D64" s="8" t="inlineStr">
        <is>
          <t>Chance de critique +{n} %</t>
        </is>
      </c>
    </row>
    <row r="65">
      <c r="A65" s="6" t="inlineStr">
        <is>
          <t>最高分 {n}</t>
        </is>
      </c>
      <c r="B65" s="8" t="inlineStr">
        <is>
          <t>最高分 {n}</t>
        </is>
      </c>
      <c r="C65" s="8" t="inlineStr">
        <is>
          <t>Best {n}</t>
        </is>
      </c>
      <c r="D65" s="8" t="inlineStr">
        <is>
          <t>Record {n}</t>
        </is>
      </c>
    </row>
    <row r="66">
      <c r="A66" s="6" t="inlineStr">
        <is>
          <t>本局构筑</t>
        </is>
      </c>
      <c r="B66" s="8" t="inlineStr">
        <is>
          <t>本局构筑</t>
        </is>
      </c>
      <c r="C66" s="8" t="inlineStr">
        <is>
          <t>This run</t>
        </is>
      </c>
      <c r="D66" s="8" t="inlineStr">
        <is>
          <t>Cette partie</t>
        </is>
      </c>
    </row>
    <row r="67">
      <c r="A67" s="6" t="inlineStr">
        <is>
          <t>次路线</t>
        </is>
      </c>
      <c r="B67" s="8" t="inlineStr">
        <is>
          <t>次路线</t>
        </is>
      </c>
      <c r="C67" s="8" t="inlineStr">
        <is>
          <t>Secondary</t>
        </is>
      </c>
      <c r="D67" s="8" t="inlineStr">
        <is>
          <t>Secondaire</t>
        </is>
      </c>
    </row>
    <row r="68">
      <c r="A68" s="6" t="inlineStr">
        <is>
          <t>每波结束开启神秘箱三选一：宝石、GST 红包、GMT 质押、MOOAR 折扣、Gas Hero 毒气、升级卷轴、创世鞋等。局内 GST 只是关卡内货币，不和任何真实资产挂钩。</t>
        </is>
      </c>
      <c r="B68" s="8" t="inlineStr">
        <is>
          <t>每波结束开启神秘箱三选一：宝石、GST 红包、GMT 质押、MOOAR 折扣、Gas Hero 毒气、升级卷轴、创世鞋等。局内 GST 只是关卡内货币，不和任何真实资产挂钩。</t>
        </is>
      </c>
      <c r="C68" s="8" t="inlineStr">
        <is>
          <t>After each wave, open a Mystery Box and pick 1 of 3: gems, GST Red Packets, GMT Staking, MOOAR Discount, Gas Hero Gas, Level-up Scrolls, Genesis Sneakers and more. In-run GST is a level-only currency and is not tied to any real asset.</t>
        </is>
      </c>
      <c r="D68" s="8" t="inlineStr">
        <is>
          <t>Après chaque vague, ouvre une Mystery Box et choisis 1 carte sur 3 : gemmes, Enveloppes GST, Staking GMT, Remise MOOAR, Gaz Gas Hero, Parchemins, Sneakers Genesis, etc. Le GST de la partie est une monnaie de niveau, sans lien avec un actif réel.</t>
        </is>
      </c>
    </row>
    <row r="69">
      <c r="A69" s="6" t="inlineStr">
        <is>
          <t>波次</t>
        </is>
      </c>
      <c r="B69" s="8" t="inlineStr">
        <is>
          <t>波次</t>
        </is>
      </c>
      <c r="C69" s="8" t="inlineStr">
        <is>
          <t>Wave</t>
        </is>
      </c>
      <c r="D69" s="8" t="inlineStr">
        <is>
          <t>Vague</t>
        </is>
      </c>
    </row>
    <row r="70">
      <c r="A70" s="6" t="inlineStr">
        <is>
          <t>洗脑神曲</t>
        </is>
      </c>
      <c r="B70" s="8" t="inlineStr">
        <is>
          <t>洗脑神曲</t>
        </is>
      </c>
      <c r="C70" s="8" t="inlineStr">
        <is>
          <t>Earworm</t>
        </is>
      </c>
      <c r="D70" s="8" t="inlineStr">
        <is>
          <t>Tube entêtant</t>
        </is>
      </c>
    </row>
    <row r="71">
      <c r="A71" s="6" t="inlineStr">
        <is>
          <t>燃脂模式需连续劝退 {n}</t>
        </is>
      </c>
      <c r="B71" s="8" t="inlineStr">
        <is>
          <t>燃脂模式需连续劝退 {n}</t>
        </is>
      </c>
      <c r="C71" s="8" t="inlineStr">
        <is>
          <t>Fat-burn at {n} streak</t>
        </is>
      </c>
      <c r="D71" s="8" t="inlineStr">
        <is>
          <t>Brûle-graisse à {n} d’affilée</t>
        </is>
      </c>
    </row>
    <row r="72">
      <c r="A72" s="6" t="inlineStr">
        <is>
          <t>燃脂模式！</t>
        </is>
      </c>
      <c r="B72" s="8" t="inlineStr">
        <is>
          <t>燃脂模式！</t>
        </is>
      </c>
      <c r="C72" s="8" t="inlineStr">
        <is>
          <t>Fat-burn mode!</t>
        </is>
      </c>
      <c r="D72" s="8" t="inlineStr">
        <is>
          <t>Mode brûle-graisse !</t>
        </is>
      </c>
    </row>
    <row r="73">
      <c r="A73" s="6" t="inlineStr">
        <is>
          <t>爆破</t>
        </is>
      </c>
      <c r="B73" s="8" t="inlineStr">
        <is>
          <t>爆破</t>
        </is>
      </c>
      <c r="C73" s="8" t="inlineStr">
        <is>
          <t xml:space="preserve">Blast </t>
        </is>
      </c>
      <c r="D73" s="8" t="inlineStr">
        <is>
          <t xml:space="preserve">Piste </t>
        </is>
      </c>
    </row>
    <row r="74">
      <c r="A74" s="6" t="inlineStr">
        <is>
          <t>爆破跑道</t>
        </is>
      </c>
      <c r="B74" s="8" t="inlineStr">
        <is>
          <t>爆破跑道</t>
        </is>
      </c>
      <c r="C74" s="8" t="inlineStr">
        <is>
          <t>Blast Track</t>
        </is>
      </c>
      <c r="D74" s="8" t="inlineStr">
        <is>
          <t>Piste Explosive</t>
        </is>
      </c>
    </row>
    <row r="75">
      <c r="A75" s="6" t="inlineStr">
        <is>
          <t>王之宝库</t>
        </is>
      </c>
      <c r="B75" s="8" t="inlineStr">
        <is>
          <t>王之宝库</t>
        </is>
      </c>
      <c r="C75" s="8" t="inlineStr">
        <is>
          <t>Royal Treasury</t>
        </is>
      </c>
      <c r="D75" s="8" t="inlineStr">
        <is>
          <t>Trésor royal</t>
        </is>
      </c>
    </row>
    <row r="76">
      <c r="A76" s="6" t="inlineStr">
        <is>
          <t>玩法说明</t>
        </is>
      </c>
      <c r="B76" s="8" t="inlineStr">
        <is>
          <t>玩法说明</t>
        </is>
      </c>
      <c r="C76" s="8" t="inlineStr">
        <is>
          <t>How to play</t>
        </is>
      </c>
      <c r="D76" s="8" t="inlineStr">
        <is>
          <t>Comment jouer</t>
        </is>
      </c>
    </row>
    <row r="77">
      <c r="A77" s="6" t="inlineStr">
        <is>
          <t>盾破</t>
        </is>
      </c>
      <c r="B77" s="8" t="inlineStr">
        <is>
          <t>盾破</t>
        </is>
      </c>
      <c r="C77" s="8" t="inlineStr">
        <is>
          <t>Shield broken</t>
        </is>
      </c>
      <c r="D77" s="8" t="inlineStr">
        <is>
          <t>Bouclier brisé</t>
        </is>
      </c>
    </row>
    <row r="78">
      <c r="A78" s="6" t="inlineStr">
        <is>
          <t>神秘箱轰炸</t>
        </is>
      </c>
      <c r="B78" s="8" t="inlineStr">
        <is>
          <t>神秘箱轰炸</t>
        </is>
      </c>
      <c r="C78" s="8" t="inlineStr">
        <is>
          <t>Mystery Box Strike</t>
        </is>
      </c>
      <c r="D78" s="8" t="inlineStr">
        <is>
          <t>Frappe Mystery Box</t>
        </is>
      </c>
    </row>
    <row r="79">
      <c r="A79" s="6" t="inlineStr">
        <is>
          <t>稀有</t>
        </is>
      </c>
      <c r="B79" s="8" t="inlineStr">
        <is>
          <t>稀有</t>
        </is>
      </c>
      <c r="C79" s="8" t="inlineStr">
        <is>
          <t>Rare</t>
        </is>
      </c>
      <c r="D79" s="8" t="inlineStr">
        <is>
          <t>Rare</t>
        </is>
      </c>
    </row>
    <row r="80">
      <c r="A80" s="6" t="inlineStr">
        <is>
          <t>稳</t>
        </is>
      </c>
      <c r="B80" s="8" t="inlineStr">
        <is>
          <t>稳</t>
        </is>
      </c>
      <c r="C80" s="8" t="inlineStr">
        <is>
          <t>Resist</t>
        </is>
      </c>
      <c r="D80" s="8" t="inlineStr">
        <is>
          <t>Résiste</t>
        </is>
      </c>
    </row>
    <row r="81">
      <c r="A81" s="6" t="inlineStr">
        <is>
          <t>稳妥</t>
        </is>
      </c>
      <c r="B81" s="8" t="inlineStr">
        <is>
          <t>稳妥</t>
        </is>
      </c>
      <c r="C81" s="8" t="inlineStr">
        <is>
          <t>Safe</t>
        </is>
      </c>
      <c r="D81" s="8" t="inlineStr">
        <is>
          <t>Sûr</t>
        </is>
      </c>
    </row>
    <row r="82">
      <c r="A82" s="6" t="inlineStr">
        <is>
          <t>空位 · 选一个装置</t>
        </is>
      </c>
      <c r="B82" s="8" t="inlineStr">
        <is>
          <t>空位 · 选一个装置</t>
        </is>
      </c>
      <c r="C82" s="8" t="inlineStr">
        <is>
          <t>Empty spot · choose a device</t>
        </is>
      </c>
      <c r="D82" s="8" t="inlineStr">
        <is>
          <t>Emplacement libre · choisis un dispositif</t>
        </is>
      </c>
    </row>
    <row r="83">
      <c r="A83" s="6" t="inlineStr">
        <is>
          <t>立即开始第 {n} 波 · +{b} GST</t>
        </is>
      </c>
      <c r="B83" s="8" t="inlineStr">
        <is>
          <t>立即开始第 {n} 波 · +{b} GST</t>
        </is>
      </c>
      <c r="C83" s="8" t="inlineStr">
        <is>
          <t>Start wave {n} now · +{b} GST</t>
        </is>
      </c>
      <c r="D83" s="8" t="inlineStr">
        <is>
          <t>Lancer la vague {n} · +{b} GST</t>
        </is>
      </c>
    </row>
    <row r="84">
      <c r="A84" s="6" t="inlineStr">
        <is>
          <t>第 {n} 波</t>
        </is>
      </c>
      <c r="B84" s="8" t="inlineStr">
        <is>
          <t>第 {n} 波</t>
        </is>
      </c>
      <c r="C84" s="8" t="inlineStr">
        <is>
          <t>Wave {n}</t>
        </is>
      </c>
      <c r="D84" s="8" t="inlineStr">
        <is>
          <t>Vague {n}</t>
        </is>
      </c>
    </row>
    <row r="85">
      <c r="A85" s="6" t="inlineStr">
        <is>
          <t>第 {n} 波守住 · +{g} GST</t>
        </is>
      </c>
      <c r="B85" s="8" t="inlineStr">
        <is>
          <t>第 {n} 波守住 · +{g} GST</t>
        </is>
      </c>
      <c r="C85" s="8" t="inlineStr">
        <is>
          <t>Wave {n} held · +{g} GST</t>
        </is>
      </c>
      <c r="D85" s="8" t="inlineStr">
        <is>
          <t>Vague {n} tenue · +{g} GST</t>
        </is>
      </c>
    </row>
    <row r="86">
      <c r="A86" s="6" t="inlineStr">
        <is>
          <t>第 {n} 波进行中</t>
        </is>
      </c>
      <c r="B86" s="8" t="inlineStr">
        <is>
          <t>第 {n} 波进行中</t>
        </is>
      </c>
      <c r="C86" s="8" t="inlineStr">
        <is>
          <t>Wave {n} in progress</t>
        </is>
      </c>
      <c r="D86" s="8" t="inlineStr">
        <is>
          <t>Vague {n} en cours</t>
        </is>
      </c>
    </row>
    <row r="87">
      <c r="A87" s="6" t="inlineStr">
        <is>
          <t>第 {r} 局 · 最高分 {b}</t>
        </is>
      </c>
      <c r="B87" s="8" t="inlineStr">
        <is>
          <t>第 {r} 局 · 最高分 {b}</t>
        </is>
      </c>
      <c r="C87" s="8" t="inlineStr">
        <is>
          <t>Run {r} · best {b}</t>
        </is>
      </c>
      <c r="D87" s="8" t="inlineStr">
        <is>
          <t>Partie {r} · record {b}</t>
        </is>
      </c>
    </row>
    <row r="88">
      <c r="A88" s="6" t="inlineStr">
        <is>
          <t>第 {r} 局 · 精英波 {e} 次</t>
        </is>
      </c>
      <c r="B88" s="8" t="inlineStr">
        <is>
          <t>第 {r} 局 · 精英波 {e} 次</t>
        </is>
      </c>
      <c r="C88" s="8" t="inlineStr">
        <is>
          <t>Run {r} · {e} elite waves</t>
        </is>
      </c>
      <c r="D88" s="8" t="inlineStr">
        <is>
          <t>Partie {r} · {e} vagues d’élite</t>
        </is>
      </c>
    </row>
    <row r="89">
      <c r="A89" s="6" t="inlineStr">
        <is>
          <t>精英奖励：这次的神秘箱只出稀有和传说。</t>
        </is>
      </c>
      <c r="B89" s="8" t="inlineStr">
        <is>
          <t>精英奖励：这次的神秘箱只出稀有和传说。</t>
        </is>
      </c>
      <c r="C89" s="8" t="inlineStr">
        <is>
          <t>Elite reward: this Mystery Box only holds rare and legendary cards.</t>
        </is>
      </c>
      <c r="D89" s="8" t="inlineStr">
        <is>
          <t>Bonus d’élite : cette Mystery Box ne contient que du rare et du légendaire.</t>
        </is>
      </c>
    </row>
    <row r="90">
      <c r="A90" s="6" t="inlineStr">
        <is>
          <t>精英小队</t>
        </is>
      </c>
      <c r="B90" s="8" t="inlineStr">
        <is>
          <t>精英小队</t>
        </is>
      </c>
      <c r="C90" s="8" t="inlineStr">
        <is>
          <t>Elite squad</t>
        </is>
      </c>
      <c r="D90" s="8" t="inlineStr">
        <is>
          <t>Escouade d’élite</t>
        </is>
      </c>
    </row>
    <row r="91">
      <c r="A91" s="6" t="inlineStr">
        <is>
          <t>精英波</t>
        </is>
      </c>
      <c r="B91" s="8" t="inlineStr">
        <is>
          <t>精英波</t>
        </is>
      </c>
      <c r="C91" s="8" t="inlineStr">
        <is>
          <t>Elite wave</t>
        </is>
      </c>
      <c r="D91" s="8" t="inlineStr">
        <is>
          <t>Vague d’élite</t>
        </is>
      </c>
    </row>
    <row r="92">
      <c r="A92" s="6" t="inlineStr">
        <is>
          <t>终点</t>
        </is>
      </c>
      <c r="B92" s="8" t="inlineStr">
        <is>
          <t>终点</t>
        </is>
      </c>
      <c r="C92" s="8" t="inlineStr">
        <is>
          <t>Finish</t>
        </is>
      </c>
      <c r="D92" s="8" t="inlineStr">
        <is>
          <t>Arrivée</t>
        </is>
      </c>
    </row>
    <row r="93">
      <c r="A93" s="6" t="inlineStr">
        <is>
          <t>生命</t>
        </is>
      </c>
      <c r="B93" s="8" t="inlineStr">
        <is>
          <t>生命</t>
        </is>
      </c>
      <c r="C93" s="8" t="inlineStr">
        <is>
          <t>Lives</t>
        </is>
      </c>
      <c r="D93" s="8" t="inlineStr">
        <is>
          <t>Vies</t>
        </is>
      </c>
    </row>
    <row r="94">
      <c r="A94" s="6" t="inlineStr">
        <is>
          <t>生命 −{n}</t>
        </is>
      </c>
      <c r="B94" s="8" t="inlineStr">
        <is>
          <t>生命 −{n}</t>
        </is>
      </c>
      <c r="C94" s="8" t="inlineStr">
        <is>
          <t>Lives −{n}</t>
        </is>
      </c>
      <c r="D94" s="8" t="inlineStr">
        <is>
          <t>Vies −{n}</t>
        </is>
      </c>
    </row>
    <row r="95">
      <c r="A95" s="6" t="inlineStr">
        <is>
          <t>范围</t>
        </is>
      </c>
      <c r="B95" s="8" t="inlineStr">
        <is>
          <t>范围</t>
        </is>
      </c>
      <c r="C95" s="8" t="inlineStr">
        <is>
          <t>Area</t>
        </is>
      </c>
      <c r="D95" s="8" t="inlineStr">
        <is>
          <t>Zone</t>
        </is>
      </c>
    </row>
    <row r="96">
      <c r="A96" s="6" t="inlineStr">
        <is>
          <t>装置</t>
        </is>
      </c>
      <c r="B96" s="8" t="inlineStr">
        <is>
          <t>装置</t>
        </is>
      </c>
      <c r="C96" s="8" t="inlineStr">
        <is>
          <t>Device</t>
        </is>
      </c>
      <c r="D96" s="8" t="inlineStr">
        <is>
          <t>Dispositif</t>
        </is>
      </c>
    </row>
    <row r="97">
      <c r="A97" s="6" t="inlineStr">
        <is>
          <t>装置效果 {s}{n}%</t>
        </is>
      </c>
      <c r="B97" s="8" t="inlineStr">
        <is>
          <t>装置效果 {s}{n}%</t>
        </is>
      </c>
      <c r="C97" s="8" t="inlineStr">
        <is>
          <t>Device effect {s}{n}%</t>
        </is>
      </c>
      <c r="D97" s="8" t="inlineStr">
        <is>
          <t>Effet des dispositifs {s}{n} %</t>
        </is>
      </c>
    </row>
    <row r="98">
      <c r="A98" s="6" t="inlineStr">
        <is>
          <t>起点</t>
        </is>
      </c>
      <c r="B98" s="8" t="inlineStr">
        <is>
          <t>起点</t>
        </is>
      </c>
      <c r="C98" s="8" t="inlineStr">
        <is>
          <t>Start</t>
        </is>
      </c>
      <c r="D98" s="8" t="inlineStr">
        <is>
          <t>Départ</t>
        </is>
      </c>
    </row>
    <row r="99">
      <c r="A99" s="6" t="inlineStr">
        <is>
          <t>跑道</t>
        </is>
      </c>
      <c r="B99" s="8" t="inlineStr">
        <is>
          <t>跑道</t>
        </is>
      </c>
      <c r="C99" s="8" t="inlineStr">
        <is>
          <t>Track</t>
        </is>
      </c>
      <c r="D99" s="8" t="inlineStr">
        <is>
          <t>Explosive</t>
        </is>
      </c>
    </row>
    <row r="100">
      <c r="A100" s="6" t="inlineStr">
        <is>
          <t>辣椒油</t>
        </is>
      </c>
      <c r="B100" s="8" t="inlineStr">
        <is>
          <t>辣椒油</t>
        </is>
      </c>
      <c r="C100" s="8" t="inlineStr">
        <is>
          <t>Chili Oil</t>
        </is>
      </c>
      <c r="D100" s="8" t="inlineStr">
        <is>
          <t>Huile pimentée</t>
        </is>
      </c>
    </row>
    <row r="101">
      <c r="A101" s="6" t="inlineStr">
        <is>
          <t>还没有卡</t>
        </is>
      </c>
      <c r="B101" s="8" t="inlineStr">
        <is>
          <t>还没有卡</t>
        </is>
      </c>
      <c r="C101" s="8" t="inlineStr">
        <is>
          <t>No cards yet</t>
        </is>
      </c>
      <c r="D101" s="8" t="inlineStr">
        <is>
          <t>Aucune carte</t>
        </is>
      </c>
    </row>
    <row r="102">
      <c r="A102" s="6" t="inlineStr">
        <is>
          <t>连续劝退 ×{n}</t>
        </is>
      </c>
      <c r="B102" s="8" t="inlineStr">
        <is>
          <t>连续劝退 ×{n}</t>
        </is>
      </c>
      <c r="C102" s="8" t="inlineStr">
        <is>
          <t>Streak ×{n}</t>
        </is>
      </c>
      <c r="D102" s="8" t="inlineStr">
        <is>
          <t>Série ×{n}</t>
        </is>
      </c>
    </row>
    <row r="103">
      <c r="A103" s="6" t="inlineStr">
        <is>
          <t>退赛通知</t>
        </is>
      </c>
      <c r="B103" s="8" t="inlineStr">
        <is>
          <t>退赛通知</t>
        </is>
      </c>
      <c r="C103" s="8" t="inlineStr">
        <is>
          <t>DNF notice</t>
        </is>
      </c>
      <c r="D103" s="8" t="inlineStr">
        <is>
          <t>Avis d’abandon</t>
        </is>
      </c>
    </row>
    <row r="104">
      <c r="A104" s="6" t="inlineStr">
        <is>
          <t>选好后有 8 秒布置时间。</t>
        </is>
      </c>
      <c r="B104" s="8" t="inlineStr">
        <is>
          <t>选好后有 8 秒布置时间。</t>
        </is>
      </c>
      <c r="C104" s="8" t="inlineStr">
        <is>
          <t>You get 8 seconds to set up after choosing.</t>
        </is>
      </c>
      <c r="D104" s="8" t="inlineStr">
        <is>
          <t>Tu as 8 secondes pour te préparer.</t>
        </is>
      </c>
    </row>
    <row r="105">
      <c r="A105" s="6" t="inlineStr">
        <is>
          <t>选择第 {n} 段跑道</t>
        </is>
      </c>
      <c r="B105" s="8" t="inlineStr">
        <is>
          <t>选择第 {n} 段跑道</t>
        </is>
      </c>
      <c r="C105" s="8" t="inlineStr">
        <is>
          <t>Choose stretch {n}</t>
        </is>
      </c>
      <c r="D105" s="8" t="inlineStr">
        <is>
          <t>Choisis le tronçon {n}</t>
        </is>
      </c>
    </row>
    <row r="106">
      <c r="A106" s="6" t="inlineStr">
        <is>
          <t>通关</t>
        </is>
      </c>
      <c r="B106" s="8" t="inlineStr">
        <is>
          <t>通关</t>
        </is>
      </c>
      <c r="C106" s="8" t="inlineStr">
        <is>
          <t>Territory held!</t>
        </is>
      </c>
      <c r="D106" s="8" t="inlineStr">
        <is>
          <t>Territoire défendu !</t>
        </is>
      </c>
    </row>
    <row r="107">
      <c r="A107" s="6" t="inlineStr">
        <is>
          <t>重低音</t>
        </is>
      </c>
      <c r="B107" s="8" t="inlineStr">
        <is>
          <t>重低音</t>
        </is>
      </c>
      <c r="C107" s="8" t="inlineStr">
        <is>
          <t>Heavy Bass</t>
        </is>
      </c>
      <c r="D107" s="8" t="inlineStr">
        <is>
          <t>Basses lourdes</t>
        </is>
      </c>
    </row>
    <row r="108">
      <c r="A108" s="6" t="inlineStr">
        <is>
          <t>重抽 · {n} GST</t>
        </is>
      </c>
      <c r="B108" s="8" t="inlineStr">
        <is>
          <t>重抽 · {n} GST</t>
        </is>
      </c>
      <c r="C108" s="8" t="inlineStr">
        <is>
          <t>Reroll · {n} GST</t>
        </is>
      </c>
      <c r="D108" s="8" t="inlineStr">
        <is>
          <t>Relancer · {n} GST</t>
        </is>
      </c>
    </row>
    <row r="109">
      <c r="A109" s="6" t="inlineStr">
        <is>
          <t>铁头冲刺</t>
        </is>
      </c>
      <c r="B109" s="8" t="inlineStr">
        <is>
          <t>铁头冲刺</t>
        </is>
      </c>
      <c r="C109" s="8" t="inlineStr">
        <is>
          <t>Headstrong Dash</t>
        </is>
      </c>
      <c r="D109" s="8" t="inlineStr">
        <is>
          <t>Charge tête baissée</t>
        </is>
      </c>
    </row>
    <row r="110">
      <c r="A110" s="6" t="inlineStr">
        <is>
          <t>锁定</t>
        </is>
      </c>
      <c r="B110" s="8" t="inlineStr">
        <is>
          <t>锁定</t>
        </is>
      </c>
      <c r="C110" s="8" t="inlineStr">
        <is>
          <t>Locked</t>
        </is>
      </c>
      <c r="D110" s="8" t="inlineStr">
        <is>
          <t>Verrouillé</t>
        </is>
      </c>
    </row>
    <row r="111">
      <c r="A111" s="6" t="inlineStr">
        <is>
          <t>间隔</t>
        </is>
      </c>
      <c r="B111" s="8" t="inlineStr">
        <is>
          <t>间隔</t>
        </is>
      </c>
      <c r="C111" s="8" t="inlineStr">
        <is>
          <t>Interval</t>
        </is>
      </c>
      <c r="D111" s="8" t="inlineStr">
        <is>
          <t>Intervalle</t>
        </is>
      </c>
    </row>
    <row r="112">
      <c r="A112" s="6" t="inlineStr">
        <is>
          <t>鞋匠 → {c}</t>
        </is>
      </c>
      <c r="B112" s="8" t="inlineStr">
        <is>
          <t>鞋匠 → {c}</t>
        </is>
      </c>
      <c r="C112" s="8" t="inlineStr">
        <is>
          <t>Cobbler → {c}</t>
        </is>
      </c>
      <c r="D112" s="8" t="inlineStr">
        <is>
          <t>Cordonnier → {c}</t>
        </is>
      </c>
    </row>
    <row r="113">
      <c r="A113" s="6" t="inlineStr">
        <is>
          <t>音乐 关</t>
        </is>
      </c>
      <c r="B113" s="8" t="inlineStr">
        <is>
          <t>音乐 关</t>
        </is>
      </c>
      <c r="C113" s="8" t="inlineStr">
        <is>
          <t>Music off</t>
        </is>
      </c>
      <c r="D113" s="8" t="inlineStr">
        <is>
          <t>Musique off</t>
        </is>
      </c>
    </row>
    <row r="114">
      <c r="A114" s="6" t="inlineStr">
        <is>
          <t>音乐 开</t>
        </is>
      </c>
      <c r="B114" s="8" t="inlineStr">
        <is>
          <t>音乐 开</t>
        </is>
      </c>
      <c r="C114" s="8" t="inlineStr">
        <is>
          <t>Music on</t>
        </is>
      </c>
      <c r="D114" s="8" t="inlineStr">
        <is>
          <t>Musique on</t>
        </is>
      </c>
    </row>
    <row r="115">
      <c r="A115" s="6" t="inlineStr">
        <is>
          <t>音效 关</t>
        </is>
      </c>
      <c r="B115" s="8" t="inlineStr">
        <is>
          <t>音效 关</t>
        </is>
      </c>
      <c r="C115" s="8" t="inlineStr">
        <is>
          <t>Sound off</t>
        </is>
      </c>
      <c r="D115" s="8" t="inlineStr">
        <is>
          <t>Son off</t>
        </is>
      </c>
    </row>
    <row r="116">
      <c r="A116" s="6" t="inlineStr">
        <is>
          <t>音效 开</t>
        </is>
      </c>
      <c r="B116" s="8" t="inlineStr">
        <is>
          <t>音效 开</t>
        </is>
      </c>
      <c r="C116" s="8" t="inlineStr">
        <is>
          <t>Sound on</t>
        </is>
      </c>
      <c r="D116" s="8" t="inlineStr">
        <is>
          <t>Son on</t>
        </is>
      </c>
    </row>
    <row r="117">
      <c r="A117" s="6" t="inlineStr">
        <is>
          <t>领地失守 · 第 {n} 波</t>
        </is>
      </c>
      <c r="B117" s="8" t="inlineStr">
        <is>
          <t>领地失守 · 第 {n} 波</t>
        </is>
      </c>
      <c r="C117" s="8" t="inlineStr">
        <is>
          <t>Territory lost · wave {n}</t>
        </is>
      </c>
      <c r="D117" s="8" t="inlineStr">
        <is>
          <t>Territoire perdu · vague {n}</t>
        </is>
      </c>
    </row>
    <row r="118">
      <c r="A118" s="6" t="inlineStr">
        <is>
          <t>领地跑道，点击虚线圆圈放置装置</t>
        </is>
      </c>
      <c r="B118" s="8" t="inlineStr">
        <is>
          <t>领地跑道，点击虚线圆圈放置装置</t>
        </is>
      </c>
      <c r="C118" s="8" t="inlineStr">
        <is>
          <t>Territory track; tap a dashed circle to place a device</t>
        </is>
      </c>
      <c r="D118" s="8" t="inlineStr">
        <is>
          <t>Piste du territoire ; touche un cercle pour placer un dispositif</t>
        </is>
      </c>
    </row>
    <row r="119">
      <c r="A119" s="6" t="inlineStr">
        <is>
          <t>高风险</t>
        </is>
      </c>
      <c r="B119" s="8" t="inlineStr">
        <is>
          <t>高风险</t>
        </is>
      </c>
      <c r="C119" s="8" t="inlineStr">
        <is>
          <t>Risky</t>
        </is>
      </c>
      <c r="D119" s="8" t="inlineStr">
        <is>
          <t>Risqué</t>
        </is>
      </c>
    </row>
    <row r="120">
      <c r="A120" s="6" t="inlineStr">
        <is>
          <t>（选后可在空位放置）</t>
        </is>
      </c>
      <c r="B120" s="8" t="inlineStr">
        <is>
          <t>（选后可在空位放置）</t>
        </is>
      </c>
      <c r="C120" s="8" t="inlineStr">
        <is>
          <t xml:space="preserve"> (place it on an empty spot)</t>
        </is>
      </c>
      <c r="D120" s="8" t="inlineStr">
        <is>
          <t xml:space="preserve"> (à placer sur un emplacement libre)</t>
        </is>
      </c>
    </row>
    <row r="121">
      <c r="A121" s="6" t="inlineStr">
        <is>
          <t>，下一级「{x}」不可用</t>
        </is>
      </c>
      <c r="B121" s="8" t="inlineStr">
        <is>
          <t>，下一级「{x}」不可用</t>
        </is>
      </c>
      <c r="C121" s="8" t="inlineStr">
        <is>
          <t>; next tier “{x}” unavailable</t>
        </is>
      </c>
      <c r="D121" s="8" t="inlineStr">
        <is>
          <t xml:space="preserve"> ; niveau suivant « {x} » indisponible</t>
        </is>
      </c>
    </row>
    <row r="122">
      <c r="A122" s="6" t="inlineStr">
        <is>
          <t>出手速度 ×{r}，持续 {n} 秒</t>
        </is>
      </c>
      <c r="B122" s="8" t="inlineStr">
        <is>
          <t>出手速度 ×{r}，持续 {n} 秒</t>
        </is>
      </c>
      <c r="C122" s="8" t="inlineStr">
        <is>
          <t>Device speed ×{r} for {n} s</t>
        </is>
      </c>
      <c r="D122" s="8" t="inlineStr">
        <is>
          <t>Vitesse des dispositifs ×{r} pendant {n} s</t>
        </is>
      </c>
    </row>
    <row r="123">
      <c r="A123" s="6" t="inlineStr">
        <is>
          <t>{n} 条提示</t>
        </is>
      </c>
      <c r="B123" s="8" t="inlineStr">
        <is>
          <t>{n} 条提示</t>
        </is>
      </c>
      <c r="C123" s="8" t="inlineStr">
        <is>
          <t>{n} notes</t>
        </is>
      </c>
      <c r="D123" s="8" t="inlineStr">
        <is>
          <t>{n} remarques</t>
        </is>
      </c>
    </row>
    <row r="124">
      <c r="A124" s="6" t="inlineStr">
        <is>
          <t>读取表格的组件加载失败，请检查网络后重试</t>
        </is>
      </c>
      <c r="B124" s="8" t="inlineStr">
        <is>
          <t>读取表格的组件加载失败，请检查网络后重试</t>
        </is>
      </c>
      <c r="C124" s="8" t="inlineStr">
        <is>
          <t>Could not load the spreadsheet reader. Check your connection and try again.</t>
        </is>
      </c>
      <c r="D124" s="8" t="inlineStr">
        <is>
          <t>Impossible de charger le lecteur de tableur. Vérifie ta connexion et réessaie.</t>
        </is>
      </c>
    </row>
    <row r="125">
      <c r="A125" s="6" t="inlineStr">
        <is>
          <t>缺少工作表「{x}」，使用默认值</t>
        </is>
      </c>
      <c r="B125" s="8" t="inlineStr">
        <is>
          <t>缺少工作表「{x}」，使用默认值</t>
        </is>
      </c>
      <c r="C125" s="8" t="inlineStr">
        <is>
          <t>Sheet “{x}” is missing; using defaults</t>
        </is>
      </c>
      <c r="D125" s="8" t="inlineStr">
        <is>
          <t>Feuille « {x} » absente ; valeurs par défaut utilisées</t>
        </is>
      </c>
    </row>
    <row r="126">
      <c r="A126" s="6" t="inlineStr">
        <is>
          <t>{w}：「{v}」不是数字，使用默认值 {d}</t>
        </is>
      </c>
      <c r="B126" s="8" t="inlineStr">
        <is>
          <t>{w}：「{v}」不是数字，使用默认值 {d}</t>
        </is>
      </c>
      <c r="C126" s="8" t="inlineStr">
        <is>
          <t>{w}: “{v}” is not a number; using default {d}</t>
        </is>
      </c>
      <c r="D126" s="8" t="inlineStr">
        <is>
          <t>{w} : « {v} » n’est pas un nombre ; valeur par défaut {d}</t>
        </is>
      </c>
    </row>
    <row r="127">
      <c r="A127" s="6" t="inlineStr">
        <is>
          <t>全局 {x}</t>
        </is>
      </c>
      <c r="B127" s="8" t="inlineStr">
        <is>
          <t>全局 {x}</t>
        </is>
      </c>
      <c r="C127" s="8" t="inlineStr">
        <is>
          <t>Global {x}</t>
        </is>
      </c>
      <c r="D127" s="8" t="inlineStr">
        <is>
          <t>Global {x}</t>
        </is>
      </c>
    </row>
    <row r="128">
      <c r="A128" s="6" t="inlineStr">
        <is>
          <t>全局：未知参数「{x}」已忽略</t>
        </is>
      </c>
      <c r="B128" s="8" t="inlineStr">
        <is>
          <t>全局：未知参数「{x}」已忽略</t>
        </is>
      </c>
      <c r="C128" s="8" t="inlineStr">
        <is>
          <t>Global: unknown setting “{x}” ignored</t>
        </is>
      </c>
      <c r="D128" s="8" t="inlineStr">
        <is>
          <t>Global : paramètre inconnu « {x} » ignoré</t>
        </is>
      </c>
    </row>
    <row r="129">
      <c r="A129" s="6" t="inlineStr">
        <is>
          <t>装置第 {n} 行：未知 id「{x}」已忽略</t>
        </is>
      </c>
      <c r="B129" s="8" t="inlineStr">
        <is>
          <t>装置第 {n} 行：未知 id「{x}」已忽略</t>
        </is>
      </c>
      <c r="C129" s="8" t="inlineStr">
        <is>
          <t>Devices row {n}: unknown id “{x}” ignored</t>
        </is>
      </c>
      <c r="D129" s="8" t="inlineStr">
        <is>
          <t>Dispositifs ligne {n} : id inconnu « {x} » ignoré</t>
        </is>
      </c>
    </row>
    <row r="130">
      <c r="A130" s="6" t="inlineStr">
        <is>
          <t>装置 {x} {k}</t>
        </is>
      </c>
      <c r="B130" s="8" t="inlineStr">
        <is>
          <t>装置 {x} {k}</t>
        </is>
      </c>
      <c r="C130" s="8" t="inlineStr">
        <is>
          <t>Device {x} {k}</t>
        </is>
      </c>
      <c r="D130" s="8" t="inlineStr">
        <is>
          <t>Dispositif {x} {k}</t>
        </is>
      </c>
    </row>
    <row r="131">
      <c r="A131" s="6" t="inlineStr">
        <is>
          <t>升级路线第 {n} 行：找不到对应路线</t>
        </is>
      </c>
      <c r="B131" s="8" t="inlineStr">
        <is>
          <t>升级路线第 {n} 行：找不到对应路线</t>
        </is>
      </c>
      <c r="C131" s="8" t="inlineStr">
        <is>
          <t>Paths row {n}: no matching path</t>
        </is>
      </c>
      <c r="D131" s="8" t="inlineStr">
        <is>
          <t>Voies ligne {n} : voie introuvable</t>
        </is>
      </c>
    </row>
    <row r="132">
      <c r="A132" s="6" t="inlineStr">
        <is>
          <t>升级第 {n} 行：找不到对应等级</t>
        </is>
      </c>
      <c r="B132" s="8" t="inlineStr">
        <is>
          <t>升级第 {n} 行：找不到对应等级</t>
        </is>
      </c>
      <c r="C132" s="8" t="inlineStr">
        <is>
          <t>Upgrades row {n}: no matching tier</t>
        </is>
      </c>
      <c r="D132" s="8" t="inlineStr">
        <is>
          <t>Améliorations ligne {n} : niveau introuvable</t>
        </is>
      </c>
    </row>
    <row r="133">
      <c r="A133" s="6" t="inlineStr">
        <is>
          <t>升级第 {n} 行 cost</t>
        </is>
      </c>
      <c r="B133" s="8" t="inlineStr">
        <is>
          <t>升级第 {n} 行 cost</t>
        </is>
      </c>
      <c r="C133" s="8" t="inlineStr">
        <is>
          <t>Upgrades row {n} cost</t>
        </is>
      </c>
      <c r="D133" s="8" t="inlineStr">
        <is>
          <t>Améliorations ligne {n} cost</t>
        </is>
      </c>
    </row>
    <row r="134">
      <c r="A134" s="6" t="inlineStr">
        <is>
          <t>升级第 {n} 行：效果「{x}」写法有误，保留原效果</t>
        </is>
      </c>
      <c r="B134" s="8" t="inlineStr">
        <is>
          <t>升级第 {n} 行：效果「{x}」写法有误，保留原效果</t>
        </is>
      </c>
      <c r="C134" s="8" t="inlineStr">
        <is>
          <t>Upgrades row {n}: effect “{x}” is invalid; kept the previous effect</t>
        </is>
      </c>
      <c r="D134" s="8" t="inlineStr">
        <is>
          <t>Améliorations ligne {n} : effet « {x} » invalide ; effet précédent conservé</t>
        </is>
      </c>
    </row>
    <row r="135">
      <c r="A135" s="6" t="inlineStr">
        <is>
          <t>敌人第 {n} 行：未知 id 已忽略</t>
        </is>
      </c>
      <c r="B135" s="8" t="inlineStr">
        <is>
          <t>敌人第 {n} 行：未知 id 已忽略</t>
        </is>
      </c>
      <c r="C135" s="8" t="inlineStr">
        <is>
          <t>Enemies row {n}: unknown id ignored</t>
        </is>
      </c>
      <c r="D135" s="8" t="inlineStr">
        <is>
          <t>Ennemis ligne {n} : id inconnu ignoré</t>
        </is>
      </c>
    </row>
    <row r="136">
      <c r="A136" s="6" t="inlineStr">
        <is>
          <t>敌人 {x} {k}</t>
        </is>
      </c>
      <c r="B136" s="8" t="inlineStr">
        <is>
          <t>敌人 {x} {k}</t>
        </is>
      </c>
      <c r="C136" s="8" t="inlineStr">
        <is>
          <t>Enemy {x} {k}</t>
        </is>
      </c>
      <c r="D136" s="8" t="inlineStr">
        <is>
          <t>Ennemi {x} {k}</t>
        </is>
      </c>
    </row>
    <row r="137">
      <c r="A137" s="6" t="inlineStr">
        <is>
          <t>波次第 {n} 行 {k}</t>
        </is>
      </c>
      <c r="B137" s="8" t="inlineStr">
        <is>
          <t>波次第 {n} 行 {k}</t>
        </is>
      </c>
      <c r="C137" s="8" t="inlineStr">
        <is>
          <t>Waves row {n} {k}</t>
        </is>
      </c>
      <c r="D137" s="8" t="inlineStr">
        <is>
          <t>Vagues ligne {n} {k}</t>
        </is>
      </c>
    </row>
    <row r="138">
      <c r="A138" s="6" t="inlineStr">
        <is>
          <t>Boss 第 {n} 行：未知 id 已忽略</t>
        </is>
      </c>
      <c r="B138" s="8" t="inlineStr">
        <is>
          <t>Boss 第 {n} 行：未知 id 已忽略</t>
        </is>
      </c>
      <c r="C138" s="8" t="inlineStr">
        <is>
          <t>Bosses row {n}: unknown id ignored</t>
        </is>
      </c>
      <c r="D138" s="8" t="inlineStr">
        <is>
          <t>Boss ligne {n} : id inconnu ignoré</t>
        </is>
      </c>
    </row>
    <row r="139">
      <c r="A139" s="6" t="inlineStr">
        <is>
          <t>Boss {x} enabled</t>
        </is>
      </c>
      <c r="B139" s="8" t="inlineStr">
        <is>
          <t>Boss {x} enabled</t>
        </is>
      </c>
      <c r="C139" s="8" t="inlineStr">
        <is>
          <t>Boss {x} enabled</t>
        </is>
      </c>
      <c r="D139" s="8" t="inlineStr">
        <is>
          <t>Boss {x} enabled</t>
        </is>
      </c>
    </row>
    <row r="140">
      <c r="A140" s="6" t="inlineStr">
        <is>
          <t>Boss {x} p{i}</t>
        </is>
      </c>
      <c r="B140" s="8" t="inlineStr">
        <is>
          <t>Boss {x} p{i}</t>
        </is>
      </c>
      <c r="C140" s="8" t="inlineStr">
        <is>
          <t>Boss {x} p{i}</t>
        </is>
      </c>
      <c r="D140" s="8" t="inlineStr">
        <is>
          <t>Boss {x} p{i}</t>
        </is>
      </c>
    </row>
    <row r="141">
      <c r="A141" s="6" t="inlineStr">
        <is>
          <t>卡牌第 {n} 行：未知 id「{x}」已忽略</t>
        </is>
      </c>
      <c r="B141" s="8" t="inlineStr">
        <is>
          <t>卡牌第 {n} 行：未知 id「{x}」已忽略</t>
        </is>
      </c>
      <c r="C141" s="8" t="inlineStr">
        <is>
          <t>Cards row {n}: unknown id “{x}” ignored</t>
        </is>
      </c>
      <c r="D141" s="8" t="inlineStr">
        <is>
          <t>Cartes ligne {n} : id inconnu « {x} » ignoré</t>
        </is>
      </c>
    </row>
    <row r="142">
      <c r="A142" s="6" t="inlineStr">
        <is>
          <t>卡牌 {x} enabled</t>
        </is>
      </c>
      <c r="B142" s="8" t="inlineStr">
        <is>
          <t>卡牌 {x} enabled</t>
        </is>
      </c>
      <c r="C142" s="8" t="inlineStr">
        <is>
          <t>Card {x} enabled</t>
        </is>
      </c>
      <c r="D142" s="8" t="inlineStr">
        <is>
          <t>Carte {x} enabled</t>
        </is>
      </c>
    </row>
    <row r="143">
      <c r="A143" s="6" t="inlineStr">
        <is>
          <t>卡牌 {x} stack</t>
        </is>
      </c>
      <c r="B143" s="8" t="inlineStr">
        <is>
          <t>卡牌 {x} stack</t>
        </is>
      </c>
      <c r="C143" s="8" t="inlineStr">
        <is>
          <t>Card {x} stack</t>
        </is>
      </c>
      <c r="D143" s="8" t="inlineStr">
        <is>
          <t>Carte {x} stack</t>
        </is>
      </c>
    </row>
    <row r="144">
      <c r="A144" s="6" t="inlineStr">
        <is>
          <t>卡牌 {x} v1</t>
        </is>
      </c>
      <c r="B144" s="8" t="inlineStr">
        <is>
          <t>卡牌 {x} v1</t>
        </is>
      </c>
      <c r="C144" s="8" t="inlineStr">
        <is>
          <t>Card {x} v1</t>
        </is>
      </c>
      <c r="D144" s="8" t="inlineStr">
        <is>
          <t>Carte {x} v1</t>
        </is>
      </c>
    </row>
    <row r="145">
      <c r="A145" s="6" t="inlineStr">
        <is>
          <t>卡牌 {x} v2</t>
        </is>
      </c>
      <c r="B145" s="8" t="inlineStr">
        <is>
          <t>卡牌 {x} v2</t>
        </is>
      </c>
      <c r="C145" s="8" t="inlineStr">
        <is>
          <t>Card {x} v2</t>
        </is>
      </c>
      <c r="D145" s="8" t="inlineStr">
        <is>
          <t>Carte {x} v2</t>
        </is>
      </c>
    </row>
    <row r="146">
      <c r="A146" s="6" t="inlineStr">
        <is>
          <t>地图第 {n} 行 x</t>
        </is>
      </c>
      <c r="B146" s="8" t="inlineStr">
        <is>
          <t>地图第 {n} 行 x</t>
        </is>
      </c>
      <c r="C146" s="8" t="inlineStr">
        <is>
          <t>Map row {n} x</t>
        </is>
      </c>
      <c r="D146" s="8" t="inlineStr">
        <is>
          <t>Carte ligne {n} x</t>
        </is>
      </c>
    </row>
    <row r="147">
      <c r="A147" s="6" t="inlineStr">
        <is>
          <t>地图第 {n} 行 y</t>
        </is>
      </c>
      <c r="B147" s="8" t="inlineStr">
        <is>
          <t>地图第 {n} 行 y</t>
        </is>
      </c>
      <c r="C147" s="8" t="inlineStr">
        <is>
          <t>Map row {n} y</t>
        </is>
      </c>
      <c r="D147" s="8" t="inlineStr">
        <is>
          <t>Carte ligne {n} y</t>
        </is>
      </c>
    </row>
    <row r="148">
      <c r="A148" s="6" t="inlineStr">
        <is>
          <t>波次为空，使用默认波次</t>
        </is>
      </c>
      <c r="B148" s="8" t="inlineStr">
        <is>
          <t>波次为空，使用默认波次</t>
        </is>
      </c>
      <c r="C148" s="8" t="inlineStr">
        <is>
          <t>No waves found; using default waves</t>
        </is>
      </c>
      <c r="D148" s="8" t="inlineStr">
        <is>
          <t>Aucune vague ; vagues par défaut</t>
        </is>
      </c>
    </row>
    <row r="149">
      <c r="A149" s="6" t="inlineStr">
        <is>
          <t>正在使用：{x}</t>
        </is>
      </c>
      <c r="B149" s="8" t="inlineStr">
        <is>
          <t>正在使用：{x}</t>
        </is>
      </c>
      <c r="C149" s="8" t="inlineStr">
        <is>
          <t>Using: {x}</t>
        </is>
      </c>
      <c r="D149" s="8" t="inlineStr">
        <is>
          <t>Configuration : {x}</t>
        </is>
      </c>
    </row>
    <row r="150">
      <c r="A150" s="6" t="inlineStr">
        <is>
          <t>正在使用：默认配置</t>
        </is>
      </c>
      <c r="B150" s="8" t="inlineStr">
        <is>
          <t>正在使用：默认配置</t>
        </is>
      </c>
      <c r="C150" s="8" t="inlineStr">
        <is>
          <t>Using: default config</t>
        </is>
      </c>
      <c r="D150" s="8" t="inlineStr">
        <is>
          <t>Configuration : par défaut</t>
        </is>
      </c>
    </row>
    <row r="151">
      <c r="A151" s="6" t="inlineStr">
        <is>
          <t>正在读取…</t>
        </is>
      </c>
      <c r="B151" s="8" t="inlineStr">
        <is>
          <t>正在读取…</t>
        </is>
      </c>
      <c r="C151" s="8" t="inlineStr">
        <is>
          <t>Reading…</t>
        </is>
      </c>
      <c r="D151" s="8" t="inlineStr">
        <is>
          <t>Lecture…</t>
        </is>
      </c>
    </row>
    <row r="152">
      <c r="A152" s="6" t="inlineStr">
        <is>
          <t>导入失败：{x}</t>
        </is>
      </c>
      <c r="B152" s="8" t="inlineStr">
        <is>
          <t>导入失败：{x}</t>
        </is>
      </c>
      <c r="C152" s="8" t="inlineStr">
        <is>
          <t>Import failed: {x}</t>
        </is>
      </c>
      <c r="D152" s="8" t="inlineStr">
        <is>
          <t>Échec de l’import : {x}</t>
        </is>
      </c>
    </row>
    <row r="153">
      <c r="A153" s="6" t="inlineStr">
        <is>
          <t>导入配置表 (.xlsx)</t>
        </is>
      </c>
      <c r="B153" s="8" t="inlineStr">
        <is>
          <t>导入配置表 (.xlsx)</t>
        </is>
      </c>
      <c r="C153" s="8" t="inlineStr">
        <is>
          <t>Import config (.xlsx)</t>
        </is>
      </c>
      <c r="D153" s="8" t="inlineStr">
        <is>
          <t>Importer la config (.xlsx)</t>
        </is>
      </c>
    </row>
    <row r="154">
      <c r="A154" s="6" t="inlineStr">
        <is>
          <t>恢复默认</t>
        </is>
      </c>
      <c r="B154" s="8" t="inlineStr">
        <is>
          <t>恢复默认</t>
        </is>
      </c>
      <c r="C154" s="8" t="inlineStr">
        <is>
          <t>Reset to default</t>
        </is>
      </c>
      <c r="D154" s="8" t="inlineStr">
        <is>
          <t>Rétablir par défaut</t>
        </is>
      </c>
    </row>
    <row r="155">
      <c r="A155" s="6" t="inlineStr">
        <is>
          <t>在 Excel 或 Google Sheets 中修改配置表后导出为 .xlsx 再导入，游戏会立即按新数值和名称重新开局。导入的配置只保存在这台设备的浏览器里。</t>
        </is>
      </c>
      <c r="B155" s="8" t="inlineStr">
        <is>
          <t>在 Excel 或 Google Sheets 中修改配置表后导出为 .xlsx 再导入，游戏会立即按新数值和名称重新开局。导入的配置只保存在这台设备的浏览器里。</t>
        </is>
      </c>
      <c r="C155" s="8" t="inlineStr">
        <is>
          <t>Edit the config sheet in Excel or Google Sheets, export it as .xlsx and import it here. The game restarts right away with the new numbers and names. Imported configs are saved only in this browser.</t>
        </is>
      </c>
      <c r="D155" s="8" t="inlineStr">
        <is>
          <t>Modifie la config dans Excel ou Google Sheets, exporte-la en .xlsx puis importe-la ici. La partie redémarre aussitôt avec les nouvelles valeurs et noms. La config importée reste dans ce navigateur.</t>
        </is>
      </c>
    </row>
    <row r="156">
      <c r="A156" s="6" t="inlineStr">
        <is>
          <t>随机</t>
        </is>
      </c>
      <c r="B156" s="8" t="inlineStr">
        <is>
          <t>随机</t>
        </is>
      </c>
      <c r="C156" s="8" t="inlineStr">
        <is>
          <t>Random</t>
        </is>
      </c>
      <c r="D156" s="8" t="inlineStr">
        <is>
          <t>Aléatoire</t>
        </is>
      </c>
    </row>
    <row r="157">
      <c r="A157" s="6" t="inlineStr">
        <is>
          <t>跑道选择</t>
        </is>
      </c>
      <c r="B157" s="8" t="inlineStr">
        <is>
          <t>跑道选择</t>
        </is>
      </c>
      <c r="C157" s="8" t="inlineStr">
        <is>
          <t>Track</t>
        </is>
      </c>
      <c r="D157" s="8" t="inlineStr">
        <is>
          <t>Piste</t>
        </is>
      </c>
    </row>
    <row r="158">
      <c r="A158" s="6" t="inlineStr">
        <is>
          <t>本局跑道：{x}。{d}</t>
        </is>
      </c>
      <c r="B158" s="8" t="inlineStr">
        <is>
          <t>本局跑道：{x}。{d}</t>
        </is>
      </c>
      <c r="C158" s="8" t="inlineStr">
        <is>
          <t>Track: {x}. {d}</t>
        </is>
      </c>
      <c r="D158" s="8" t="inlineStr">
        <is>
          <t>Piste : {x}. {d}</t>
        </is>
      </c>
    </row>
    <row r="159">
      <c r="A159" s="6" t="inlineStr">
        <is>
          <t>跑道 {x} enabled</t>
        </is>
      </c>
      <c r="B159" s="8" t="inlineStr">
        <is>
          <t>跑道 {x} enabled</t>
        </is>
      </c>
      <c r="C159" s="8" t="inlineStr">
        <is>
          <t>Track {x} enabled</t>
        </is>
      </c>
      <c r="D159" s="8" t="inlineStr">
        <is>
          <t>Piste {x} enabled</t>
        </is>
      </c>
    </row>
    <row r="160">
      <c r="A160" s="6" t="inlineStr">
        <is>
          <t>跑道 {x} spdMult</t>
        </is>
      </c>
      <c r="B160" s="8" t="inlineStr">
        <is>
          <t>跑道 {x} spdMult</t>
        </is>
      </c>
      <c r="C160" s="8" t="inlineStr">
        <is>
          <t>Track {x} spdMult</t>
        </is>
      </c>
      <c r="D160" s="8" t="inlineStr">
        <is>
          <t>Piste {x} spdMult</t>
        </is>
      </c>
    </row>
    <row r="161">
      <c r="A161" s="6" t="inlineStr">
        <is>
          <t>跑道 {x} hpMult</t>
        </is>
      </c>
      <c r="B161" s="8" t="inlineStr">
        <is>
          <t>跑道 {x} hpMult</t>
        </is>
      </c>
      <c r="C161" s="8" t="inlineStr">
        <is>
          <t>Track {x} hpMult</t>
        </is>
      </c>
      <c r="D161" s="8" t="inlineStr">
        <is>
          <t>Piste {x} hpMult</t>
        </is>
      </c>
    </row>
    <row r="162">
      <c r="A162" s="6" t="inlineStr">
        <is>
          <t>地图：跑道「{x}」不在「跑道列表」里，已忽略</t>
        </is>
      </c>
      <c r="B162" s="8" t="inlineStr">
        <is>
          <t>地图：跑道「{x}」不在「跑道列表」里，已忽略</t>
        </is>
      </c>
      <c r="C162" s="8" t="inlineStr">
        <is>
          <t>Map: track “{x}” is not in the track list; ignored</t>
        </is>
      </c>
      <c r="D162" s="8" t="inlineStr">
        <is>
          <t>Carte : piste « {x} » absente de la liste ; ignorée</t>
        </is>
      </c>
    </row>
    <row r="163">
      <c r="A163" s="6" t="inlineStr">
        <is>
          <t>地图「{x}」：每条路线至少需要 2 个点，保留原跑道</t>
        </is>
      </c>
      <c r="B163" s="8" t="inlineStr">
        <is>
          <t>地图「{x}」：每条路线至少需要 2 个点，保留原跑道</t>
        </is>
      </c>
      <c r="C163" s="8" t="inlineStr">
        <is>
          <t>Map “{x}”: each route needs at least 2 points; kept the previous track</t>
        </is>
      </c>
      <c r="D163" s="8" t="inlineStr">
        <is>
          <t>Carte « {x} » : chaque tracé demande 2 points ; piste précédente conservée</t>
        </is>
      </c>
    </row>
    <row r="164">
      <c r="A164" s="6" t="inlineStr">
        <is>
          <t>地图「{x}」：至少需要 1 个空位，保留原空位</t>
        </is>
      </c>
      <c r="B164" s="8" t="inlineStr">
        <is>
          <t>地图「{x}」：至少需要 1 个空位，保留原空位</t>
        </is>
      </c>
      <c r="C164" s="8" t="inlineStr">
        <is>
          <t>Map “{x}”: at least 1 spot is needed; kept the previous spots</t>
        </is>
      </c>
      <c r="D164" s="8" t="inlineStr">
        <is>
          <t>Carte « {x} » : il faut au moins 1 emplacement ; emplacements précédents conservés</t>
        </is>
      </c>
    </row>
    <row r="165">
      <c r="A165" s="6" t="inlineStr">
        <is>
          <t>清除导入的图片</t>
        </is>
      </c>
      <c r="B165" s="8" t="inlineStr">
        <is>
          <t>清除导入的图片</t>
        </is>
      </c>
      <c r="C165" s="8" t="inlineStr">
        <is>
          <t>Clear imported images</t>
        </is>
      </c>
      <c r="D165" s="8" t="inlineStr">
        <is>
          <t>Effacer les images importées</t>
        </is>
      </c>
    </row>
    <row r="166">
      <c r="A166" s="6" t="inlineStr">
        <is>
          <t>图片文件名用资源编号命名（如 tower.dart.png、boss.yawn.png），会自动替换对应的占位图。编号和尺寸见配置表「美术资源」工作表。</t>
        </is>
      </c>
      <c r="B166" s="8" t="inlineStr">
        <is>
          <t>图片文件名用资源编号命名（如 tower.dart.png、boss.yawn.png），会自动替换对应的占位图。编号和尺寸见配置表「美术资源」工作表。</t>
        </is>
      </c>
      <c r="C166" s="8" t="inlineStr">
        <is>
          <t>Name each image file after its asset key (e.g. tower.dart.png, boss.yawn.png) and it replaces the matching placeholder. Keys and sizes are in the “美术资源” (Art) sheet of the config workbook.</t>
        </is>
      </c>
      <c r="D166" s="8" t="inlineStr">
        <is>
          <t>Nommez chaque image d’après sa clé (ex. tower.dart.png, boss.yawn.png) : elle remplace le dessin provisoire correspondant. Clés et tailles : feuille « 美术资源 » (Art) du classeur.</t>
        </is>
      </c>
    </row>
    <row r="167">
      <c r="A167" s="6" t="inlineStr">
        <is>
          <t>美术资源：全部使用占位图</t>
        </is>
      </c>
      <c r="B167" s="8" t="inlineStr">
        <is>
          <t>美术资源：全部使用占位图</t>
        </is>
      </c>
      <c r="C167" s="8" t="inlineStr">
        <is>
          <t>Art: all placeholders</t>
        </is>
      </c>
      <c r="D167" s="8" t="inlineStr">
        <is>
          <t>Graphismes : tout est provisoire</t>
        </is>
      </c>
    </row>
    <row r="168">
      <c r="A168" s="6" t="inlineStr">
        <is>
          <t>美术资源：已替换 {n} 项（其中导入 {m} 张）</t>
        </is>
      </c>
      <c r="B168" s="8" t="inlineStr">
        <is>
          <t>美术资源：已替换 {n} 项（其中导入 {m} 张）</t>
        </is>
      </c>
      <c r="C168" s="8" t="inlineStr">
        <is>
          <t>Art: {n} replaced ({m} imported)</t>
        </is>
      </c>
      <c r="D168" s="8" t="inlineStr">
        <is>
          <t>Graphismes : {n} remplacés ({m} importés)</t>
        </is>
      </c>
    </row>
    <row r="169">
      <c r="A169" s="6" t="inlineStr">
        <is>
          <t>加载失败：{x}</t>
        </is>
      </c>
      <c r="B169" s="8" t="inlineStr">
        <is>
          <t>加载失败：{x}</t>
        </is>
      </c>
      <c r="C169" s="8" t="inlineStr">
        <is>
          <t>Failed to load: {x}</t>
        </is>
      </c>
      <c r="D169" s="8" t="inlineStr">
        <is>
          <t>Échec du chargement : {x}</t>
        </is>
      </c>
    </row>
    <row r="170">
      <c r="A170" s="6" t="inlineStr">
        <is>
          <t>这些文件名不是资源编号，已跳过：{x}</t>
        </is>
      </c>
      <c r="B170" s="8" t="inlineStr">
        <is>
          <t>这些文件名不是资源编号，已跳过：{x}</t>
        </is>
      </c>
      <c r="C170" s="8" t="inlineStr">
        <is>
          <t>Skipped (file name is not an asset key): {x}</t>
        </is>
      </c>
      <c r="D170" s="8" t="inlineStr">
        <is>
          <t>Ignorés (le nom n’est pas une clé) : {x}</t>
        </is>
      </c>
    </row>
    <row r="171">
      <c r="A171" s="6" t="inlineStr">
        <is>
          <t>图片太大，浏览器存不下，只在本次打开期间有效</t>
        </is>
      </c>
      <c r="B171" s="8" t="inlineStr">
        <is>
          <t>图片太大，浏览器存不下，只在本次打开期间有效</t>
        </is>
      </c>
      <c r="C171" s="8" t="inlineStr">
        <is>
          <t>Images too large for browser storage; they last only until you close the page</t>
        </is>
      </c>
      <c r="D171" s="8" t="inlineStr">
        <is>
          <t>Images trop lourdes pour le navigateur : valables jusqu’à la fermeture de la page</t>
        </is>
      </c>
    </row>
    <row r="172">
      <c r="A172" s="6" t="inlineStr">
        <is>
          <t>美术资源：新编号「{x}」游戏里没有用到</t>
        </is>
      </c>
      <c r="B172" s="8" t="inlineStr">
        <is>
          <t>美术资源：新编号「{x}」游戏里没有用到</t>
        </is>
      </c>
      <c r="C172" s="8" t="inlineStr">
        <is>
          <t>Art: key “{x}” is not used by the game</t>
        </is>
      </c>
      <c r="D172" s="8" t="inlineStr">
        <is>
          <t>Graphismes : la clé « {x} » n’est pas utilisée</t>
        </is>
      </c>
    </row>
    <row r="173">
      <c r="A173" s="6" t="inlineStr">
        <is>
          <t>美术资源 {x} {k}</t>
        </is>
      </c>
      <c r="B173" s="8" t="inlineStr">
        <is>
          <t>美术资源 {x} {k}</t>
        </is>
      </c>
      <c r="C173" s="8" t="inlineStr">
        <is>
          <t>Art {x} {k}</t>
        </is>
      </c>
      <c r="D173" s="8" t="inlineStr">
        <is>
          <t>Graphismes {x} {k}</t>
        </is>
      </c>
    </row>
    <row r="174">
      <c r="A174" s="6" t="inlineStr">
        <is>
          <t>点击开始</t>
        </is>
      </c>
      <c r="B174" s="8" t="inlineStr">
        <is>
          <t>点击开始</t>
        </is>
      </c>
      <c r="C174" s="8" t="inlineStr">
        <is>
          <t>Tap to start</t>
        </is>
      </c>
      <c r="D174" s="8" t="inlineStr">
        <is>
          <t>Touchez pour commencer</t>
        </is>
      </c>
    </row>
    <row r="175">
      <c r="A175" s="6" t="inlineStr">
        <is>
          <t>开跑！</t>
        </is>
      </c>
      <c r="B175" s="8" t="inlineStr">
        <is>
          <t>开跑！</t>
        </is>
      </c>
      <c r="C175" s="8" t="inlineStr">
        <is>
          <t>Go!</t>
        </is>
      </c>
      <c r="D175" s="8" t="inlineStr">
        <is>
          <t>Partez !</t>
        </is>
      </c>
    </row>
    <row r="176">
      <c r="A176" s="6" t="inlineStr">
        <is>
          <t>神秘箱开启中…</t>
        </is>
      </c>
      <c r="B176" s="8" t="inlineStr">
        <is>
          <t>神秘箱开启中…</t>
        </is>
      </c>
      <c r="C176" s="8" t="inlineStr">
        <is>
          <t>Opening the Mystery Box…</t>
        </is>
      </c>
      <c r="D176" s="8" t="inlineStr">
        <is>
          <t>Ouverture de la Mystery Box…</t>
        </is>
      </c>
    </row>
    <row r="177">
      <c r="A177" s="6" t="inlineStr">
        <is>
          <t>准备…</t>
        </is>
      </c>
      <c r="B177" s="8" t="inlineStr">
        <is>
          <t>准备…</t>
        </is>
      </c>
      <c r="C177" s="8" t="inlineStr">
        <is>
          <t>Get ready…</t>
        </is>
      </c>
      <c r="D177" s="8" t="inlineStr">
        <is>
          <t>Prêt…</t>
        </is>
      </c>
    </row>
    <row r="178">
      <c r="A178" s="6" t="inlineStr">
        <is>
          <t>建造装置</t>
        </is>
      </c>
      <c r="B178" s="8" t="inlineStr">
        <is>
          <t>建造装置</t>
        </is>
      </c>
      <c r="C178" s="8" t="inlineStr">
        <is>
          <t>Build a device</t>
        </is>
      </c>
      <c r="D178" s="8" t="inlineStr">
        <is>
          <t>Construire</t>
        </is>
      </c>
    </row>
    <row r="179">
      <c r="A179" s="6" t="inlineStr">
        <is>
          <t>关闭</t>
        </is>
      </c>
      <c r="B179" s="8" t="inlineStr">
        <is>
          <t>关闭</t>
        </is>
      </c>
      <c r="C179" s="8" t="inlineStr">
        <is>
          <t>Close</t>
        </is>
      </c>
      <c r="D179" s="8" t="inlineStr">
        <is>
          <t>Fermer</t>
        </is>
      </c>
    </row>
    <row r="180">
      <c r="A180" s="6" t="inlineStr">
        <is>
          <t>已锁定</t>
        </is>
      </c>
      <c r="B180" s="8" t="inlineStr">
        <is>
          <t>已锁定</t>
        </is>
      </c>
      <c r="C180" s="8" t="inlineStr">
        <is>
          <t>Locked</t>
        </is>
      </c>
      <c r="D180" s="8" t="inlineStr">
        <is>
          <t>Verrouillé</t>
        </is>
      </c>
    </row>
    <row r="181">
      <c r="A181" s="6" t="inlineStr">
        <is>
          <t>主</t>
        </is>
      </c>
      <c r="B181" s="8" t="inlineStr">
        <is>
          <t>主</t>
        </is>
      </c>
      <c r="C181" s="8" t="inlineStr">
        <is>
          <t>Main</t>
        </is>
      </c>
      <c r="D181" s="8" t="inlineStr">
        <is>
          <t>Princ.</t>
        </is>
      </c>
    </row>
    <row r="182">
      <c r="A182" s="6" t="inlineStr">
        <is>
          <t>次</t>
        </is>
      </c>
      <c r="B182" s="8" t="inlineStr">
        <is>
          <t>次</t>
        </is>
      </c>
      <c r="C182" s="8" t="inlineStr">
        <is>
          <t>2nd</t>
        </is>
      </c>
      <c r="D182" s="8" t="inlineStr">
        <is>
          <t>Sec.</t>
        </is>
      </c>
    </row>
    <row r="183">
      <c r="A183" s="6" t="inlineStr">
        <is>
          <t>回收 +{n}</t>
        </is>
      </c>
      <c r="B183" s="8" t="inlineStr">
        <is>
          <t>回收 +{n}</t>
        </is>
      </c>
      <c r="C183" s="8" t="inlineStr">
        <is>
          <t>Recycle +{n}</t>
        </is>
      </c>
      <c r="D183" s="8" t="inlineStr">
        <is>
          <t>Recycler +{n}</t>
        </is>
      </c>
    </row>
    <row r="184">
      <c r="A184" s="6" t="inlineStr">
        <is>
          <t>跑步加成</t>
        </is>
      </c>
      <c r="B184" s="8" t="inlineStr">
        <is>
          <t>跑步加成</t>
        </is>
      </c>
      <c r="C184" s="8" t="inlineStr">
        <is>
          <t>Running boost</t>
        </is>
      </c>
      <c r="D184" s="8" t="inlineStr">
        <is>
          <t>Bonus de course</t>
        </is>
      </c>
    </row>
    <row r="185">
      <c r="A185" s="6" t="inlineStr">
        <is>
          <t>真实跑步会让你的装置更强。原型里用下面的开关模拟；正式版自动读取你在 STEPN 的跑步数据。</t>
        </is>
      </c>
      <c r="B185" s="8" t="inlineStr">
        <is>
          <t>真实跑步会让你的装置更强。原型里用下面的开关模拟；正式版自动读取你在 STEPN 的跑步数据。</t>
        </is>
      </c>
      <c r="C185" s="8" t="inlineStr">
        <is>
          <t>Real runs make your devices stronger. In this prototype you simulate it with the controls below; the live version reads your STEPN running data automatically.</t>
        </is>
      </c>
      <c r="D185" s="8" t="inlineStr">
        <is>
          <t>Courir pour de vrai renforce tes dispositifs. Dans ce prototype, simule-le ci-dessous ; la version finale lira automatiquement tes données de course STEPN.</t>
        </is>
      </c>
    </row>
    <row r="186">
      <c r="A186" s="6" t="inlineStr">
        <is>
          <t>公会天赋（模拟累计 RP）</t>
        </is>
      </c>
      <c r="B186" s="8" t="inlineStr">
        <is>
          <t>公会天赋（模拟累计 RP）</t>
        </is>
      </c>
      <c r="C186" s="8" t="inlineStr">
        <is>
          <t>Guild talent (simulated total RP)</t>
        </is>
      </c>
      <c r="D186" s="8" t="inlineStr">
        <is>
          <t>Talent de guilde (RP cumulés simulés)</t>
        </is>
      </c>
    </row>
    <row r="187">
      <c r="A187" s="6" t="inlineStr">
        <is>
          <t>累计 {r} RP · 未解锁</t>
        </is>
      </c>
      <c r="B187" s="8" t="inlineStr">
        <is>
          <t>累计 {r} RP · 未解锁</t>
        </is>
      </c>
      <c r="C187" s="8" t="inlineStr">
        <is>
          <t>{r} RP total · locked</t>
        </is>
      </c>
      <c r="D187" s="8" t="inlineStr">
        <is>
          <t>{r} RP cumulés · verrouillé</t>
        </is>
      </c>
    </row>
    <row r="188">
      <c r="A188" s="6" t="inlineStr">
        <is>
          <t>累计 {r} RP · {t} 档 +{b}%</t>
        </is>
      </c>
      <c r="B188" s="8" t="inlineStr">
        <is>
          <t>累计 {r} RP · {t} 档 +{b}%</t>
        </is>
      </c>
      <c r="C188" s="8" t="inlineStr">
        <is>
          <t>{r} RP total · tier {t} +{b}%</t>
        </is>
      </c>
      <c r="D188" s="8" t="inlineStr">
        <is>
          <t>{r} RP cumulés · palier {t} +{b} %</t>
        </is>
      </c>
    </row>
    <row r="189">
      <c r="A189" s="6" t="inlineStr">
        <is>
          <t>今日热身：今天在 STEPN 已跑满 {k} km → 当天所有对局装置效果 +{b}%</t>
        </is>
      </c>
      <c r="B189" s="8" t="inlineStr">
        <is>
          <t>今日热身：今天在 STEPN 已跑满 {k} km → 当天所有对局装置效果 +{b}%</t>
        </is>
      </c>
      <c r="C189" s="8" t="inlineStr">
        <is>
          <t>Warm-up: ran at least {k} km in STEPN today → all devices +{b}% effect in every run today</t>
        </is>
      </c>
      <c r="D189" s="8" t="inlineStr">
        <is>
          <t>Échauffement : au moins {k} km courus dans STEPN aujourd’hui → tous les dispositifs +{b} % d’effet dans chaque partie du jour</t>
        </is>
      </c>
    </row>
    <row r="190">
      <c r="A190"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0"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0"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0"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1">
      <c r="A191" s="6" t="inlineStr">
        <is>
          <t>当前跑步加成：装置效果 +{n}%</t>
        </is>
      </c>
      <c r="B191" s="8" t="inlineStr">
        <is>
          <t>当前跑步加成：装置效果 +{n}%</t>
        </is>
      </c>
      <c r="C191" s="8" t="inlineStr">
        <is>
          <t>Current running boost: devices +{n}%</t>
        </is>
      </c>
      <c r="D191" s="8" t="inlineStr">
        <is>
          <t>Bonus de course actuel : dispositifs +{n} %</t>
        </is>
      </c>
    </row>
    <row r="192">
      <c r="A192" s="6" t="inlineStr">
        <is>
          <t>跑步加成 +{n}%</t>
        </is>
      </c>
      <c r="B192" s="8" t="inlineStr">
        <is>
          <t>跑步加成 +{n}%</t>
        </is>
      </c>
      <c r="C192" s="8" t="inlineStr">
        <is>
          <t>Running boost +{n}%</t>
        </is>
      </c>
      <c r="D192" s="8" t="inlineStr">
        <is>
          <t>Bonus de course +{n} %</t>
        </is>
      </c>
    </row>
    <row r="193">
      <c r="A193" s="6" t="inlineStr">
        <is>
          <t>宝石发射器</t>
        </is>
      </c>
      <c r="B193" s="8" t="inlineStr">
        <is>
          <t>宝石发射器</t>
        </is>
      </c>
      <c r="C193" s="8" t="inlineStr">
        <is>
          <t>Gem Launcher</t>
        </is>
      </c>
      <c r="D193" s="8" t="inlineStr">
        <is>
          <t>Lance-gemmes</t>
        </is>
      </c>
    </row>
    <row r="194">
      <c r="A194" s="6" t="inlineStr">
        <is>
          <t>红宝石</t>
        </is>
      </c>
      <c r="B194" s="8" t="inlineStr">
        <is>
          <t>红宝石</t>
        </is>
      </c>
      <c r="C194" s="8" t="inlineStr">
        <is>
          <t>Ruby</t>
        </is>
      </c>
      <c r="D194" s="8" t="inlineStr">
        <is>
          <t>Rubis</t>
        </is>
      </c>
    </row>
    <row r="195">
      <c r="A195" s="6" t="inlineStr">
        <is>
          <t>蓝宝石</t>
        </is>
      </c>
      <c r="B195" s="8" t="inlineStr">
        <is>
          <t>蓝宝石</t>
        </is>
      </c>
      <c r="C195" s="8" t="inlineStr">
        <is>
          <t>Sapphire</t>
        </is>
      </c>
      <c r="D195" s="8" t="inlineStr">
        <is>
          <t>Saphir</t>
        </is>
      </c>
    </row>
    <row r="196">
      <c r="A196" s="6" t="inlineStr">
        <is>
          <t>下一级：{x}</t>
        </is>
      </c>
      <c r="B196" s="8" t="inlineStr">
        <is>
          <t>下一级：{x}</t>
        </is>
      </c>
      <c r="C196" s="8" t="inlineStr">
        <is>
          <t>Next: {x}</t>
        </is>
      </c>
      <c r="D196" s="8" t="inlineStr">
        <is>
          <t>Suivant : {x}</t>
        </is>
      </c>
    </row>
    <row r="197">
      <c r="A197" s="6" t="inlineStr">
        <is>
          <t>这里不能放</t>
        </is>
      </c>
      <c r="B197" s="8" t="inlineStr">
        <is>
          <t>这里不能放</t>
        </is>
      </c>
      <c r="C197" s="8" t="inlineStr">
        <is>
          <t>Can’t build here</t>
        </is>
      </c>
      <c r="D197" s="8" t="inlineStr">
        <is>
          <t>Impossible ici</t>
        </is>
      </c>
    </row>
    <row r="198">
      <c r="A198" s="6" t="inlineStr">
        <is>
          <t>取消放置</t>
        </is>
      </c>
      <c r="B198" s="8" t="inlineStr">
        <is>
          <t>取消放置</t>
        </is>
      </c>
      <c r="C198" s="8" t="inlineStr">
        <is>
          <t>Cancel placing</t>
        </is>
      </c>
      <c r="D198" s="8" t="inlineStr">
        <is>
          <t>Annuler</t>
        </is>
      </c>
    </row>
    <row r="199">
      <c r="A199" s="6" t="inlineStr">
        <is>
          <t>＋ 放置点 ×{n}</t>
        </is>
      </c>
      <c r="B199" s="8" t="inlineStr">
        <is>
          <t>＋ 放置点 ×{n}</t>
        </is>
      </c>
      <c r="C199" s="8" t="inlineStr">
        <is>
          <t>+ Spot ×{n}</t>
        </is>
      </c>
      <c r="D199" s="8" t="inlineStr">
        <is>
          <t>+ Emplacement ×{n}</t>
        </is>
      </c>
    </row>
    <row r="200">
      <c r="A200" s="6" t="inlineStr">
        <is>
          <t>点跑道外的空地，新增一个放置点</t>
        </is>
      </c>
      <c r="B200" s="8" t="inlineStr">
        <is>
          <t>点跑道外的空地，新增一个放置点</t>
        </is>
      </c>
      <c r="C200" s="8" t="inlineStr">
        <is>
          <t>Tap open ground off the track to add a spot</t>
        </is>
      </c>
      <c r="D200" s="8" t="inlineStr">
        <is>
          <t>Touche un terrain libre hors piste pour ajouter un emplacement</t>
        </is>
      </c>
    </row>
    <row r="201">
      <c r="A201" s="6" t="inlineStr">
        <is>
          <t>聪</t>
        </is>
      </c>
      <c r="B201" s="8" t="inlineStr">
        <is>
          <t>聪</t>
        </is>
      </c>
      <c r="C201" s="8" t="inlineStr">
        <is>
          <t>sats</t>
        </is>
      </c>
      <c r="D201" s="8" t="inlineStr">
        <is>
          <t>sats</t>
        </is>
      </c>
    </row>
    <row r="202">
      <c r="A202" s="6" t="inlineStr">
        <is>
          <t>创世纪 · 2008–2010</t>
        </is>
      </c>
      <c r="B202" s="8" t="inlineStr">
        <is>
          <t>创世纪 · 2008–2010</t>
        </is>
      </c>
      <c r="C202" s="8" t="inlineStr">
        <is>
          <t>Genesis · 2008–2010</t>
        </is>
      </c>
      <c r="D202" s="8" t="inlineStr">
        <is>
          <t>Genèse · 2008–2010</t>
        </is>
      </c>
    </row>
    <row r="203">
      <c r="A203" s="6" t="inlineStr">
        <is>
          <t>组合</t>
        </is>
      </c>
      <c r="B203" s="8" t="inlineStr">
        <is>
          <t>组合</t>
        </is>
      </c>
      <c r="C203" s="8" t="inlineStr">
        <is>
          <t>Combos</t>
        </is>
      </c>
      <c r="D203" s="8" t="inlineStr">
        <is>
          <t>Combos</t>
        </is>
      </c>
    </row>
    <row r="204">
      <c r="A204" s="6" t="inlineStr">
        <is>
          <t>重试</t>
        </is>
      </c>
      <c r="B204" s="8" t="inlineStr">
        <is>
          <t>重试</t>
        </is>
      </c>
      <c r="C204" s="8" t="inlineStr">
        <is>
          <t>Retry</t>
        </is>
      </c>
      <c r="D204" s="8" t="inlineStr">
        <is>
          <t>Réessayer</t>
        </is>
      </c>
    </row>
    <row r="205">
      <c r="A205" s="6" t="inlineStr">
        <is>
          <t>STEPN 跑者掉进区块链时光隧道，跟着比特币走过最初的三年。</t>
        </is>
      </c>
      <c r="B205" s="8" t="inlineStr">
        <is>
          <t>STEPN 跑者掉进区块链时光隧道，跟着比特币走过最初的三年。</t>
        </is>
      </c>
      <c r="C205" s="8" t="inlineStr">
        <is>
          <t>A STEPN runner falls into a blockchain time tunnel and lives through bitcoin’s first three years.</t>
        </is>
      </c>
      <c r="D205" s="8" t="inlineStr">
        <is>
          <t>Un coureur STEPN tombe dans un tunnel temporel blockchain et vit les trois premières années du bitcoin.</t>
        </is>
      </c>
    </row>
    <row r="206">
      <c r="A206" s="6" t="inlineStr">
        <is>
          <t>累计积分 {n}</t>
        </is>
      </c>
      <c r="B206" s="8" t="inlineStr">
        <is>
          <t>累计积分 {n}</t>
        </is>
      </c>
      <c r="C206" s="8" t="inlineStr">
        <is>
          <t>Points: {n}</t>
        </is>
      </c>
      <c r="D206" s="8" t="inlineStr">
        <is>
          <t>Points : {n}</t>
        </is>
      </c>
    </row>
    <row r="207">
      <c r="A207" s="6" t="inlineStr">
        <is>
          <t>剧情中…</t>
        </is>
      </c>
      <c r="B207" s="8" t="inlineStr">
        <is>
          <t>剧情中…</t>
        </is>
      </c>
      <c r="C207" s="8" t="inlineStr">
        <is>
          <t>Story…</t>
        </is>
      </c>
      <c r="D207" s="8" t="inlineStr">
        <is>
          <t>Histoire…</t>
        </is>
      </c>
    </row>
    <row r="208">
      <c r="A208" s="6" t="inlineStr">
        <is>
          <t>关卡完成</t>
        </is>
      </c>
      <c r="B208" s="8" t="inlineStr">
        <is>
          <t>关卡完成</t>
        </is>
      </c>
      <c r="C208" s="8" t="inlineStr">
        <is>
          <t>Level complete</t>
        </is>
      </c>
      <c r="D208" s="8" t="inlineStr">
        <is>
          <t>Niveau terminé</t>
        </is>
      </c>
    </row>
    <row r="209">
      <c r="A209" s="6" t="inlineStr">
        <is>
          <t>再玩一次</t>
        </is>
      </c>
      <c r="B209" s="8" t="inlineStr">
        <is>
          <t>再玩一次</t>
        </is>
      </c>
      <c r="C209" s="8" t="inlineStr">
        <is>
          <t>Play again</t>
        </is>
      </c>
      <c r="D209" s="8" t="inlineStr">
        <is>
          <t>Rejouer</t>
        </is>
      </c>
    </row>
    <row r="210">
      <c r="A210" s="6" t="inlineStr">
        <is>
          <t>章节地图</t>
        </is>
      </c>
      <c r="B210" s="8" t="inlineStr">
        <is>
          <t>章节地图</t>
        </is>
      </c>
      <c r="C210" s="8" t="inlineStr">
        <is>
          <t>Chapter map</t>
        </is>
      </c>
      <c r="D210" s="8" t="inlineStr">
        <is>
          <t>Carte du chapitre</t>
        </is>
      </c>
    </row>
    <row r="211">
      <c r="A211" s="6" t="inlineStr">
        <is>
          <t>第二章 · 敬请期待</t>
        </is>
      </c>
      <c r="B211" s="8" t="inlineStr">
        <is>
          <t>第二章 · 敬请期待</t>
        </is>
      </c>
      <c r="C211" s="8" t="inlineStr">
        <is>
          <t>Chapter 2 · coming soon</t>
        </is>
      </c>
      <c r="D211" s="8" t="inlineStr">
        <is>
          <t>Chapitre 2 · bientôt</t>
        </is>
      </c>
    </row>
    <row r="212">
      <c r="A212" s="6" t="inlineStr">
        <is>
          <t>图鉴</t>
        </is>
      </c>
      <c r="B212" s="8" t="inlineStr">
        <is>
          <t>图鉴</t>
        </is>
      </c>
      <c r="C212" s="8" t="inlineStr">
        <is>
          <t>Codex</t>
        </is>
      </c>
      <c r="D212" s="8" t="inlineStr">
        <is>
          <t>Codex</t>
        </is>
      </c>
    </row>
    <row r="213">
      <c r="A213" s="6" t="inlineStr">
        <is>
          <t>区块高度</t>
        </is>
      </c>
      <c r="B213" s="8" t="inlineStr">
        <is>
          <t>区块高度</t>
        </is>
      </c>
      <c r="C213" s="8" t="inlineStr">
        <is>
          <t>Block height</t>
        </is>
      </c>
      <c r="D213" s="8" t="inlineStr">
        <is>
          <t>Hauteur</t>
        </is>
      </c>
    </row>
    <row r="214">
      <c r="A214" s="6" t="inlineStr">
        <is>
          <t>区块奖励：选一个，比赛马上继续。</t>
        </is>
      </c>
      <c r="B214" s="8" t="inlineStr">
        <is>
          <t>区块奖励：选一个，比赛马上继续。</t>
        </is>
      </c>
      <c r="C214" s="8" t="inlineStr">
        <is>
          <t>Block reward: pick one and the race resumes.</t>
        </is>
      </c>
      <c r="D214" s="8" t="inlineStr">
        <is>
          <t>Récompense de bloc : choisis-en une et la course reprend.</t>
        </is>
      </c>
    </row>
    <row r="215">
      <c r="A215" s="6" t="inlineStr">
        <is>
          <t>选择关卡</t>
        </is>
      </c>
      <c r="B215" s="8" t="inlineStr">
        <is>
          <t>选择关卡</t>
        </is>
      </c>
      <c r="C215" s="8" t="inlineStr">
        <is>
          <t>Choose a level</t>
        </is>
      </c>
      <c r="D215" s="8" t="inlineStr">
        <is>
          <t>Choisir un niveau</t>
        </is>
      </c>
    </row>
    <row r="216">
      <c r="A216" s="6" t="inlineStr">
        <is>
          <t>这关还没打出组合，试试把两种状态叠在同一个跑者身上。</t>
        </is>
      </c>
      <c r="B216" s="8" t="inlineStr">
        <is>
          <t>这关还没打出组合，试试把两种状态叠在同一个跑者身上。</t>
        </is>
      </c>
      <c r="C216" s="8" t="inlineStr">
        <is>
          <t>No combos this time. Try stacking two statuses on the same runner.</t>
        </is>
      </c>
      <c r="D216" s="8" t="inlineStr">
        <is>
          <t>Aucun combo cette fois. Essaie de cumuler deux états sur le même coureur.</t>
        </is>
      </c>
    </row>
    <row r="217">
      <c r="A217" s="6" t="inlineStr">
        <is>
          <t>快捷键：空格 开波 · F 切换速度 · 1–7 建造 · Q/W/E 升级 · X 回收 · Esc 取消</t>
        </is>
      </c>
      <c r="B217" s="8" t="inlineStr">
        <is>
          <t>快捷键：空格 开波 · F 切换速度 · 1–7 建造 · Q/W/E 升级 · X 回收 · Esc 取消</t>
        </is>
      </c>
      <c r="C217" s="8" t="inlineStr">
        <is>
          <t>Keys: Space start wave · F speed · 1–7 build · Q/W/E upgrade · X recycle · Esc cancel</t>
        </is>
      </c>
      <c r="D217" s="8" t="inlineStr">
        <is>
          <t>Touches : Espace vague · F vitesse · 1–7 construire · Q/W/E améliorer · X recycler · Échap annuler</t>
        </is>
      </c>
    </row>
    <row r="218">
      <c r="A218" s="6" t="inlineStr">
        <is>
          <t>一万枚换两个披萨！</t>
        </is>
      </c>
      <c r="B218" s="8" t="inlineStr">
        <is>
          <t>一万枚换两个披萨！</t>
        </is>
      </c>
      <c r="C218" s="8" t="inlineStr">
        <is>
          <t>10,000 coins for two pizzas!</t>
        </is>
      </c>
      <c r="D218" s="8" t="inlineStr">
        <is>
          <t>10 000 pièces pour deux pizzas !</t>
        </is>
      </c>
    </row>
    <row r="219">
      <c r="A219" s="6" t="inlineStr">
        <is>
          <t>知识卡</t>
        </is>
      </c>
      <c r="B219" s="8" t="inlineStr">
        <is>
          <t>知识卡</t>
        </is>
      </c>
      <c r="C219" s="8" t="inlineStr">
        <is>
          <t>Knowledge</t>
        </is>
      </c>
      <c r="D219" s="8" t="inlineStr">
        <is>
          <t>Savoir</t>
        </is>
      </c>
    </row>
    <row r="220">
      <c r="A220" s="6" t="inlineStr">
        <is>
          <t>新组合：{x}！</t>
        </is>
      </c>
      <c r="B220" s="8" t="inlineStr">
        <is>
          <t>新组合：{x}！</t>
        </is>
      </c>
      <c r="C220" s="8" t="inlineStr">
        <is>
          <t>New combo: {x}!</t>
        </is>
      </c>
      <c r="D220" s="8" t="inlineStr">
        <is>
          <t>Nouveau combo : {x} !</t>
        </is>
      </c>
    </row>
    <row r="221">
      <c r="A221" s="6" t="inlineStr">
        <is>
          <t>下一关</t>
        </is>
      </c>
      <c r="B221" s="8" t="inlineStr">
        <is>
          <t>下一关</t>
        </is>
      </c>
      <c r="C221" s="8" t="inlineStr">
        <is>
          <t>Next level</t>
        </is>
      </c>
      <c r="D221" s="8" t="inlineStr">
        <is>
          <t>Niveau suivant</t>
        </is>
      </c>
    </row>
    <row r="222">
      <c r="A222" s="6" t="inlineStr">
        <is>
          <t>{n}× 速度</t>
        </is>
      </c>
      <c r="B222" s="8" t="inlineStr">
        <is>
          <t>{n}× 速度</t>
        </is>
      </c>
      <c r="C222" s="8" t="inlineStr">
        <is>
          <t>{n}× speed</t>
        </is>
      </c>
      <c r="D222" s="8" t="inlineStr">
        <is>
          <t>Vitesse ×{n}</t>
        </is>
      </c>
    </row>
    <row r="223">
      <c r="A223" s="6" t="inlineStr">
        <is>
          <t>区块 #{h} 被别的矿工抢先挖到了</t>
        </is>
      </c>
      <c r="B223" s="8" t="inlineStr">
        <is>
          <t>区块 #{h} 被别的矿工抢先挖到了</t>
        </is>
      </c>
      <c r="C223" s="8" t="inlineStr">
        <is>
          <t>Block #{h} went to another miner</t>
        </is>
      </c>
      <c r="D223" s="8" t="inlineStr">
        <is>
          <t>Le bloc #{h} est allé à un autre mineur</t>
        </is>
      </c>
    </row>
    <row r="224">
      <c r="A224" s="6" t="inlineStr">
        <is>
          <t>挖到区块</t>
        </is>
      </c>
      <c r="B224" s="8" t="inlineStr">
        <is>
          <t>挖到区块</t>
        </is>
      </c>
      <c r="C224" s="8" t="inlineStr">
        <is>
          <t>Blocks mined</t>
        </is>
      </c>
      <c r="D224" s="8" t="inlineStr">
        <is>
          <t>Blocs minés</t>
        </is>
      </c>
    </row>
    <row r="225">
      <c r="A225" s="6" t="inlineStr">
        <is>
          <t>本关触发的组合</t>
        </is>
      </c>
      <c r="B225" s="8" t="inlineStr">
        <is>
          <t>本关触发的组合</t>
        </is>
      </c>
      <c r="C225" s="8" t="inlineStr">
        <is>
          <t>Combos this level</t>
        </is>
      </c>
      <c r="D225" s="8" t="inlineStr">
        <is>
          <t>Combos de ce niveau</t>
        </is>
      </c>
    </row>
    <row r="226">
      <c r="A226" s="6" t="inlineStr">
        <is>
          <t>组合：{x}</t>
        </is>
      </c>
      <c r="B226" s="8" t="inlineStr">
        <is>
          <t>组合：{x}</t>
        </is>
      </c>
      <c r="C226" s="8" t="inlineStr">
        <is>
          <t>Combos: {x}</t>
        </is>
      </c>
      <c r="D226" s="8" t="inlineStr">
        <is>
          <t>Combos : {x}</t>
        </is>
      </c>
    </row>
    <row r="227">
      <c r="A227" s="6" t="inlineStr">
        <is>
          <t>修复版本上线，溢出的币被回滚</t>
        </is>
      </c>
      <c r="B227" s="8" t="inlineStr">
        <is>
          <t>修复版本上线，溢出的币被回滚</t>
        </is>
      </c>
      <c r="C227" s="8" t="inlineStr">
        <is>
          <t>The fix is live; the overflowed coins are rolled back</t>
        </is>
      </c>
      <c r="D227" s="8" t="inlineStr">
        <is>
          <t>Le correctif est en ligne ; les pièces en trop sont annulées</t>
        </is>
      </c>
    </row>
    <row r="228">
      <c r="A228" s="6" t="inlineStr">
        <is>
          <t>还没触发过。试试把这两种状态叠在同一个跑者身上。</t>
        </is>
      </c>
      <c r="B228" s="8" t="inlineStr">
        <is>
          <t>还没触发过。试试把这两种状态叠在同一个跑者身上。</t>
        </is>
      </c>
      <c r="C228" s="8" t="inlineStr">
        <is>
          <t>Not triggered yet. Try stacking these two statuses on one runner.</t>
        </is>
      </c>
      <c r="D228" s="8" t="inlineStr">
        <is>
          <t>Pas encore déclenché. Cumule ces deux états sur un coureur.</t>
        </is>
      </c>
    </row>
    <row r="229">
      <c r="A229" s="6" t="inlineStr">
        <is>
          <t>出块！#{h}</t>
        </is>
      </c>
      <c r="B229" s="8" t="inlineStr">
        <is>
          <t>出块！#{h}</t>
        </is>
      </c>
      <c r="C229" s="8" t="inlineStr">
        <is>
          <t>Block! #{h}</t>
        </is>
      </c>
      <c r="D229" s="8" t="inlineStr">
        <is>
          <t>Bloc ! #{h}</t>
        </is>
      </c>
    </row>
    <row r="230">
      <c r="A230" s="6" t="inlineStr">
        <is>
          <t>挖到区块 #{h}！</t>
        </is>
      </c>
      <c r="B230" s="8" t="inlineStr">
        <is>
          <t>挖到区块 #{h}！</t>
        </is>
      </c>
      <c r="C230" s="8" t="inlineStr">
        <is>
          <t>Mined block #{h}!</t>
        </is>
      </c>
      <c r="D230" s="8" t="inlineStr">
        <is>
          <t>Bloc #{h} miné !</t>
        </is>
      </c>
    </row>
    <row r="231">
      <c r="A231" s="6" t="inlineStr">
        <is>
          <t>披萨跑者冲出来了</t>
        </is>
      </c>
      <c r="B231" s="8" t="inlineStr">
        <is>
          <t>披萨跑者冲出来了</t>
        </is>
      </c>
      <c r="C231" s="8" t="inlineStr">
        <is>
          <t>Pizza runners incoming</t>
        </is>
      </c>
      <c r="D231" s="8" t="inlineStr">
        <is>
          <t>Les coureurs-pizza arrivent</t>
        </is>
      </c>
    </row>
    <row r="232">
      <c r="A232" s="6" t="inlineStr">
        <is>
          <t>重抽 · {n} 聪</t>
        </is>
      </c>
      <c r="B232" s="8" t="inlineStr">
        <is>
          <t>重抽 · {n} 聪</t>
        </is>
      </c>
      <c r="C232" s="8" t="inlineStr">
        <is>
          <t>Reroll · {n} sats</t>
        </is>
      </c>
      <c r="D232" s="8" t="inlineStr">
        <is>
          <t>Relancer · {n} sats</t>
        </is>
      </c>
    </row>
    <row r="233">
      <c r="A233" s="6" t="inlineStr">
        <is>
          <t>继续 ▶</t>
        </is>
      </c>
      <c r="B233" s="8" t="inlineStr">
        <is>
          <t>继续 ▶</t>
        </is>
      </c>
      <c r="C233" s="8" t="inlineStr">
        <is>
          <t>Next ▶</t>
        </is>
      </c>
      <c r="D233" s="8" t="inlineStr">
        <is>
          <t>Suite ▶</t>
        </is>
      </c>
    </row>
    <row r="234">
      <c r="A234" s="6" t="inlineStr">
        <is>
          <t>收入图鉴</t>
        </is>
      </c>
      <c r="B234" s="8" t="inlineStr">
        <is>
          <t>收入图鉴</t>
        </is>
      </c>
      <c r="C234" s="8" t="inlineStr">
        <is>
          <t>Add to codex</t>
        </is>
      </c>
      <c r="D234" s="8" t="inlineStr">
        <is>
          <t>Ajouter au codex</t>
        </is>
      </c>
    </row>
    <row r="235">
      <c r="A235" s="6" t="inlineStr">
        <is>
          <t>返回章节地图</t>
        </is>
      </c>
      <c r="B235" s="8" t="inlineStr">
        <is>
          <t>返回章节地图</t>
        </is>
      </c>
      <c r="C235" s="8" t="inlineStr">
        <is>
          <t>Back to chapter map</t>
        </is>
      </c>
      <c r="D235" s="8" t="inlineStr">
        <is>
          <t>Retour à la carte</t>
        </is>
      </c>
    </row>
    <row r="236">
      <c r="A236" s="6" t="inlineStr">
        <is>
          <t>跳过</t>
        </is>
      </c>
      <c r="B236" s="8" t="inlineStr">
        <is>
          <t>跳过</t>
        </is>
      </c>
      <c r="C236" s="8" t="inlineStr">
        <is>
          <t>Skip</t>
        </is>
      </c>
      <c r="D236" s="8" t="inlineStr">
        <is>
          <t>Passer</t>
        </is>
      </c>
    </row>
    <row r="237">
      <c r="A237" s="6" t="inlineStr">
        <is>
          <t>经典模式</t>
        </is>
      </c>
      <c r="B237" s="8" t="inlineStr">
        <is>
          <t>经典模式</t>
        </is>
      </c>
      <c r="C237" s="8" t="inlineStr">
        <is>
          <t>Classic mode</t>
        </is>
      </c>
      <c r="D237" s="8" t="inlineStr">
        <is>
          <t>Mode classique</t>
        </is>
      </c>
    </row>
    <row r="238">
      <c r="A238" s="6" t="inlineStr">
        <is>
          <t>开始！</t>
        </is>
      </c>
      <c r="B238" s="8" t="inlineStr">
        <is>
          <t>开始！</t>
        </is>
      </c>
      <c r="C238" s="8" t="inlineStr">
        <is>
          <t>Go!</t>
        </is>
      </c>
      <c r="D238" s="8" t="inlineStr">
        <is>
          <t>C’est parti !</t>
        </is>
      </c>
    </row>
    <row r="239">
      <c r="A239" s="6" t="inlineStr">
        <is>
          <t>算力 {h} · 出块奖励 +{b}%</t>
        </is>
      </c>
      <c r="B239" s="8" t="inlineStr">
        <is>
          <t>算力 {h} · 出块奖励 +{b}%</t>
        </is>
      </c>
      <c r="C239" s="8" t="inlineStr">
        <is>
          <t>Hash {h} · block reward +{b}%</t>
        </is>
      </c>
      <c r="D239" s="8" t="inlineStr">
        <is>
          <t>Puissance {h} · récompense +{b} %</t>
        </is>
      </c>
    </row>
    <row r="240">
      <c r="A240" s="6" t="inlineStr">
        <is>
          <t>全网每隔十几秒出一个区块，你的算力占全网的比例，就是抢到它的几率。挖到区块：得聪，再开一次三选一。</t>
        </is>
      </c>
      <c r="B240" s="8" t="inlineStr">
        <is>
          <t>全网每隔十几秒出一个区块，你的算力占全网的比例，就是抢到它的几率。挖到区块：得聪，再开一次三选一。</t>
        </is>
      </c>
      <c r="C240" s="8" t="inlineStr">
        <is>
          <t>The network makes a block every dozen seconds or so. Your share of total hash power is your chance of winning it. Win a block: sats plus a pick-one-of-three.</t>
        </is>
      </c>
      <c r="D240" s="8" t="inlineStr">
        <is>
          <t>Le réseau produit un bloc toutes les quinze secondes environ. Ta part de la puissance totale est ta chance de le gagner. Bloc gagné : des sats et un choix parmi trois.</t>
        </is>
      </c>
    </row>
    <row r="241">
      <c r="A241" s="6" t="inlineStr">
        <is>
          <t>出块几率</t>
        </is>
      </c>
      <c r="B241" s="8" t="inlineStr">
        <is>
          <t>出块几率</t>
        </is>
      </c>
      <c r="C241" s="8" t="inlineStr">
        <is>
          <t>Win chance</t>
        </is>
      </c>
      <c r="D241" s="8" t="inlineStr">
        <is>
          <t>Chance</t>
        </is>
      </c>
    </row>
    <row r="242">
      <c r="A242" s="6" t="inlineStr">
        <is>
          <t>软分叉！</t>
        </is>
      </c>
      <c r="B242" s="8" t="inlineStr">
        <is>
          <t>软分叉！</t>
        </is>
      </c>
      <c r="C242" s="8" t="inlineStr">
        <is>
          <t>Soft fork!</t>
        </is>
      </c>
      <c r="D242" s="8" t="inlineStr">
        <is>
          <t>Soft fork !</t>
        </is>
      </c>
    </row>
    <row r="243">
      <c r="A243" s="6" t="inlineStr">
        <is>
          <t>原型阶段的链下积分，没有任何实际价值</t>
        </is>
      </c>
      <c r="B243" s="8" t="inlineStr">
        <is>
          <t>原型阶段的链下积分，没有任何实际价值</t>
        </is>
      </c>
      <c r="C243" s="8" t="inlineStr">
        <is>
          <t>off-chain prototype points with no real-world value</t>
        </is>
      </c>
      <c r="D243" s="8" t="inlineStr">
        <is>
          <t>points hors chaîne du prototype, sans valeur réelle</t>
        </is>
      </c>
    </row>
    <row r="244">
      <c r="A244" s="6" t="inlineStr">
        <is>
          <t>你的算力</t>
        </is>
      </c>
      <c r="B244" s="8" t="inlineStr">
        <is>
          <t>你的算力</t>
        </is>
      </c>
      <c r="C244" s="8" t="inlineStr">
        <is>
          <t>Your hash</t>
        </is>
      </c>
      <c r="D244" s="8" t="inlineStr">
        <is>
          <t>Ta puissance</t>
        </is>
      </c>
    </row>
    <row r="245">
      <c r="A245" s="6" t="inlineStr">
        <is>
          <t>挖到的聪</t>
        </is>
      </c>
      <c r="B245" s="8" t="inlineStr">
        <is>
          <t>挖到的聪</t>
        </is>
      </c>
      <c r="C245" s="8" t="inlineStr">
        <is>
          <t>Sats mined</t>
        </is>
      </c>
      <c r="D245" s="8" t="inlineStr">
        <is>
          <t>Sats minés</t>
        </is>
      </c>
    </row>
    <row r="246">
      <c r="A246" s="6" t="inlineStr">
        <is>
          <t>全网算力</t>
        </is>
      </c>
      <c r="B246" s="8" t="inlineStr">
        <is>
          <t>全网算力</t>
        </is>
      </c>
      <c r="C246" s="8" t="inlineStr">
        <is>
          <t>Network hash</t>
        </is>
      </c>
      <c r="D246" s="8" t="inlineStr">
        <is>
          <t>Puissance réseau</t>
        </is>
      </c>
    </row>
    <row r="247">
      <c r="A247" s="6" t="inlineStr">
        <is>
          <t>已挖到</t>
        </is>
      </c>
      <c r="B247" s="8" t="inlineStr">
        <is>
          <t>已挖到</t>
        </is>
      </c>
      <c r="C247" s="8" t="inlineStr">
        <is>
          <t>Won</t>
        </is>
      </c>
      <c r="D247" s="8" t="inlineStr">
        <is>
          <t>Gagnés</t>
        </is>
      </c>
    </row>
    <row r="248">
      <c r="A248" s="6" t="inlineStr">
        <is>
          <t>下个区块</t>
        </is>
      </c>
      <c r="B248" s="8" t="inlineStr">
        <is>
          <t>下个区块</t>
        </is>
      </c>
      <c r="C248" s="8" t="inlineStr">
        <is>
          <t>Next block</t>
        </is>
      </c>
      <c r="D248" s="8" t="inlineStr">
        <is>
          <t>Prochain bloc</t>
        </is>
      </c>
    </row>
    <row r="249">
      <c r="A249" s="6" t="inlineStr">
        <is>
          <t>剩余生命</t>
        </is>
      </c>
      <c r="B249" s="8" t="inlineStr">
        <is>
          <t>剩余生命</t>
        </is>
      </c>
      <c r="C249" s="8" t="inlineStr">
        <is>
          <t>Lives left</t>
        </is>
      </c>
      <c r="D249" s="8" t="inlineStr">
        <is>
          <t>Vies restantes</t>
        </is>
      </c>
    </row>
    <row r="250">
      <c r="A250" s="6" t="inlineStr">
        <is>
          <t>快捷键 Q / W / E 升级，X 回收</t>
        </is>
      </c>
      <c r="B250" s="8" t="inlineStr">
        <is>
          <t>快捷键 Q / W / E 升级，X 回收</t>
        </is>
      </c>
      <c r="C250" s="8" t="inlineStr">
        <is>
          <t>Keys Q / W / E upgrade, X recycles</t>
        </is>
      </c>
      <c r="D250" s="8" t="inlineStr">
        <is>
          <t>Touches Q / W / E améliorer, X recycler</t>
        </is>
      </c>
    </row>
    <row r="251">
      <c r="A251" s="6" t="inlineStr">
        <is>
          <t>整数溢出！</t>
        </is>
      </c>
      <c r="B251" s="8" t="inlineStr">
        <is>
          <t>整数溢出！</t>
        </is>
      </c>
      <c r="C251" s="8" t="inlineStr">
        <is>
          <t>Integer overflow!</t>
        </is>
      </c>
      <c r="D251" s="8" t="inlineStr">
        <is>
          <t>Dépassement d’entier !</t>
        </is>
      </c>
    </row>
    <row r="252">
      <c r="A252" s="6" t="inlineStr">
        <is>
          <t>第一章</t>
        </is>
      </c>
      <c r="B252" s="8" t="inlineStr">
        <is>
          <t>第一章</t>
        </is>
      </c>
      <c r="C252" s="8" t="inlineStr">
        <is>
          <t>Chapter 1</t>
        </is>
      </c>
      <c r="D252" s="8" t="inlineStr">
        <is>
          <t>Chapitre 1</t>
        </is>
      </c>
    </row>
    <row r="253">
      <c r="A253" s="6" t="inlineStr">
        <is>
          <t>通关「{x}」解锁</t>
        </is>
      </c>
      <c r="B253" s="8" t="inlineStr">
        <is>
          <t>通关「{x}」解锁</t>
        </is>
      </c>
      <c r="C253" s="8" t="inlineStr">
        <is>
          <t>Clear “{x}” to unlock</t>
        </is>
      </c>
      <c r="D253" s="8" t="inlineStr">
        <is>
          <t>Termine « {x} » pour débloquer</t>
        </is>
      </c>
    </row>
    <row r="254">
      <c r="A254" s="6" t="inlineStr">
        <is>
          <t>挂上：{x}</t>
        </is>
      </c>
      <c r="B254" s="8" t="inlineStr">
        <is>
          <t>挂上：{x}</t>
        </is>
      </c>
      <c r="C254" s="8" t="inlineStr">
        <is>
          <t>Applies: {x}</t>
        </is>
      </c>
      <c r="D254" s="8" t="inlineStr">
        <is>
          <t>Applique : {x}</t>
        </is>
      </c>
    </row>
    <row r="255">
      <c r="A255" s="6" t="inlineStr">
        <is>
          <t>难度调整：全网算力 +{n}%</t>
        </is>
      </c>
      <c r="B255" s="8" t="inlineStr">
        <is>
          <t>难度调整：全网算力 +{n}%</t>
        </is>
      </c>
      <c r="C255" s="8" t="inlineStr">
        <is>
          <t>Difficulty adjustment: network hash +{n}%</t>
        </is>
      </c>
      <c r="D255" s="8" t="inlineStr">
        <is>
          <t>Ajustement de difficulté : puissance réseau +{n} %</t>
        </is>
      </c>
    </row>
    <row r="256">
      <c r="A256" s="6" t="inlineStr">
        <is>
          <t>新知识卡</t>
        </is>
      </c>
      <c r="B256" s="8" t="inlineStr">
        <is>
          <t>新知识卡</t>
        </is>
      </c>
      <c r="C256" s="8" t="inlineStr">
        <is>
          <t>New knowledge card</t>
        </is>
      </c>
      <c r="D256" s="8" t="inlineStr">
        <is>
          <t>Nouvelle carte savoir</t>
        </is>
      </c>
    </row>
    <row r="257">
      <c r="A257" s="6" t="inlineStr">
        <is>
          <t>⛏ 挖矿</t>
        </is>
      </c>
      <c r="B257" s="8" t="inlineStr">
        <is>
          <t>⛏ 挖矿</t>
        </is>
      </c>
      <c r="C257" s="8" t="inlineStr">
        <is>
          <t>⛏ Mining</t>
        </is>
      </c>
      <c r="D257" s="8" t="inlineStr">
        <is>
          <t>⛏ Minage</t>
        </is>
      </c>
    </row>
    <row r="258">
      <c r="A258" s="6" t="inlineStr">
        <is>
          <t>获得积分</t>
        </is>
      </c>
      <c r="B258" s="8" t="inlineStr">
        <is>
          <t>获得积分</t>
        </is>
      </c>
      <c r="C258" s="8" t="inlineStr">
        <is>
          <t>Points earned</t>
        </is>
      </c>
      <c r="D258" s="8" t="inlineStr">
        <is>
          <t>Points gagnés</t>
        </is>
      </c>
    </row>
    <row r="259">
      <c r="A259" s="6" t="inlineStr">
        <is>
          <t>再点一次离开（本局进度不保存）</t>
        </is>
      </c>
      <c r="B259" s="8" t="inlineStr">
        <is>
          <t>再点一次离开（本局进度不保存）</t>
        </is>
      </c>
      <c r="C259" s="8" t="inlineStr">
        <is>
          <t>Tap again to leave (this run is not saved)</t>
        </is>
      </c>
      <c r="D259" s="8" t="inlineStr">
        <is>
          <t>Touche encore pour quitter (partie non sauvegardée)</t>
        </is>
      </c>
    </row>
    <row r="260">
      <c r="A260" s="6" t="inlineStr">
        <is>
          <t>皮厚</t>
        </is>
      </c>
      <c r="B260" s="8" t="inlineStr">
        <is>
          <t>皮厚</t>
        </is>
      </c>
      <c r="C260" s="8" t="inlineStr">
        <is>
          <t>Tough</t>
        </is>
      </c>
      <c r="D260" s="8" t="inlineStr">
        <is>
          <t>Coriace</t>
        </is>
      </c>
    </row>
    <row r="261">
      <c r="A261" s="6" t="inlineStr">
        <is>
          <t>防水</t>
        </is>
      </c>
      <c r="B261" s="8" t="inlineStr">
        <is>
          <t>防水</t>
        </is>
      </c>
      <c r="C261" s="8" t="inlineStr">
        <is>
          <t>Waterproof</t>
        </is>
      </c>
      <c r="D261" s="8" t="inlineStr">
        <is>
          <t>Imperméable</t>
        </is>
      </c>
    </row>
    <row r="262">
      <c r="A262" s="6" t="inlineStr">
        <is>
          <t>跳过！</t>
        </is>
      </c>
      <c r="B262" s="8" t="inlineStr">
        <is>
          <t>跳过！</t>
        </is>
      </c>
      <c r="C262" s="8" t="inlineStr">
        <is>
          <t>Hop!</t>
        </is>
      </c>
      <c r="D262" s="8" t="inlineStr">
        <is>
          <t>Hop !</t>
        </is>
      </c>
    </row>
    <row r="263">
      <c r="A263" s="6" t="inlineStr">
        <is>
          <t>跑者</t>
        </is>
      </c>
      <c r="B263" s="8" t="inlineStr">
        <is>
          <t>跑者</t>
        </is>
      </c>
      <c r="C263" s="8" t="inlineStr">
        <is>
          <t>Runners</t>
        </is>
      </c>
      <c r="D263" s="8" t="inlineStr">
        <is>
          <t>Coureurs</t>
        </is>
      </c>
    </row>
    <row r="264">
      <c r="A264" s="6" t="inlineStr">
        <is>
          <t>对策</t>
        </is>
      </c>
      <c r="B264" s="8" t="inlineStr">
        <is>
          <t>对策</t>
        </is>
      </c>
      <c r="C264" s="8" t="inlineStr">
        <is>
          <t>Counter</t>
        </is>
      </c>
      <c r="D264" s="8" t="inlineStr">
        <is>
          <t>Parade</t>
        </is>
      </c>
    </row>
    <row r="265">
      <c r="A265" s="6" t="inlineStr">
        <is>
          <t>还没遇到过。</t>
        </is>
      </c>
      <c r="B265" s="8" t="inlineStr">
        <is>
          <t>还没遇到过。</t>
        </is>
      </c>
      <c r="C265" s="8" t="inlineStr">
        <is>
          <t>Not met yet.</t>
        </is>
      </c>
      <c r="D265" s="8" t="inlineStr">
        <is>
          <t>Pas encore croisé.</t>
        </is>
      </c>
    </row>
    <row r="266">
      <c r="A266" s="6" t="inlineStr">
        <is>
          <t>新跑者</t>
        </is>
      </c>
      <c r="B266" s="8" t="inlineStr">
        <is>
          <t>新跑者</t>
        </is>
      </c>
      <c r="C266" s="8" t="inlineStr">
        <is>
          <t>New runner</t>
        </is>
      </c>
      <c r="D266" s="8" t="inlineStr">
        <is>
          <t>Nouveau coureur</t>
        </is>
      </c>
    </row>
    <row r="267">
      <c r="A267" s="6" t="inlineStr">
        <is>
          <t>对{x}无效</t>
        </is>
      </c>
      <c r="B267" s="8" t="inlineStr">
        <is>
          <t>对{x}无效</t>
        </is>
      </c>
      <c r="C267" s="8" t="inlineStr">
        <is>
          <t>No effect on {x}</t>
        </is>
      </c>
      <c r="D267" s="8" t="inlineStr">
        <is>
          <t>Sans effet sur {x}</t>
        </is>
      </c>
    </row>
    <row r="268">
      <c r="A268" s="6" t="inlineStr">
        <is>
          <t>连撞 ×{n}</t>
        </is>
      </c>
      <c r="B268" s="8" t="inlineStr">
        <is>
          <t>连撞 ×{n}</t>
        </is>
      </c>
      <c r="C268" s="8" t="inlineStr">
        <is>
          <t>Crash ×{n}</t>
        </is>
      </c>
      <c r="D268" s="8" t="inlineStr">
        <is>
          <t>Collision ×{n}</t>
        </is>
      </c>
    </row>
    <row r="269">
      <c r="A269" s="6" t="inlineStr">
        <is>
          <t>整道铺皮！</t>
        </is>
      </c>
      <c r="B269" s="8" t="inlineStr">
        <is>
          <t>整道铺皮！</t>
        </is>
      </c>
      <c r="C269" s="8" t="inlineStr">
        <is>
          <t>Paved with peels!</t>
        </is>
      </c>
      <c r="D269" s="8" t="inlineStr">
        <is>
          <t>Piste couverte !</t>
        </is>
      </c>
    </row>
    <row r="270">
      <c r="A270" s="6" t="inlineStr">
        <is>
          <t>后勤补给！</t>
        </is>
      </c>
      <c r="B270" s="8" t="inlineStr">
        <is>
          <t>后勤补给！</t>
        </is>
      </c>
      <c r="C270" s="8" t="inlineStr">
        <is>
          <t>Supplies in!</t>
        </is>
      </c>
      <c r="D270" s="8" t="inlineStr">
        <is>
          <t>Ravitaillement !</t>
        </is>
      </c>
    </row>
    <row r="271">
      <c r="A271" s="6" t="inlineStr">
        <is>
          <t>重低音 ×{n}</t>
        </is>
      </c>
      <c r="B271" s="8" t="inlineStr">
        <is>
          <t>重低音 ×{n}</t>
        </is>
      </c>
      <c r="C271" s="8" t="inlineStr">
        <is>
          <t>Bass drop ×{n}</t>
        </is>
      </c>
      <c r="D271" s="8" t="inlineStr">
        <is>
          <t>Basse ×{n}</t>
        </is>
      </c>
    </row>
    <row r="272">
      <c r="A272" s="6" t="inlineStr">
        <is>
          <t>限量发售！</t>
        </is>
      </c>
      <c r="B272" s="8" t="inlineStr">
        <is>
          <t>限量发售！</t>
        </is>
      </c>
      <c r="C272" s="8" t="inlineStr">
        <is>
          <t>Launch event!</t>
        </is>
      </c>
      <c r="D272" s="8" t="inlineStr">
        <is>
          <t>Lancement !</t>
        </is>
      </c>
    </row>
    <row r="273">
      <c r="A273" s="6" t="inlineStr">
        <is>
          <t>投递区已设定</t>
        </is>
      </c>
      <c r="B273" s="8" t="inlineStr">
        <is>
          <t>投递区已设定</t>
        </is>
      </c>
      <c r="C273" s="8" t="inlineStr">
        <is>
          <t>Drop zone set</t>
        </is>
      </c>
      <c r="D273" s="8" t="inlineStr">
        <is>
          <t>Zone de largage fixée</t>
        </is>
      </c>
    </row>
    <row r="274">
      <c r="A274" s="6" t="inlineStr">
        <is>
          <t>布阵路段已设定</t>
        </is>
      </c>
      <c r="B274" s="8" t="inlineStr">
        <is>
          <t>布阵路段已设定</t>
        </is>
      </c>
      <c r="C274" s="8" t="inlineStr">
        <is>
          <t>Trap stretch set</t>
        </is>
      </c>
      <c r="D274" s="8" t="inlineStr">
        <is>
          <t>Tronçon piégé fixé</t>
        </is>
      </c>
    </row>
    <row r="275">
      <c r="A275" s="6" t="inlineStr">
        <is>
          <t>副路线最多 2 级</t>
        </is>
      </c>
      <c r="B275" s="8" t="inlineStr">
        <is>
          <t>副路线最多 2 级</t>
        </is>
      </c>
      <c r="C275" s="8" t="inlineStr">
        <is>
          <t>Secondary path max tier 2</t>
        </is>
      </c>
      <c r="D275" s="8" t="inlineStr">
        <is>
          <t>Voie secondaire : niveau 2 max</t>
        </is>
      </c>
    </row>
    <row r="276">
      <c r="A276" s="6" t="inlineStr">
        <is>
          <t>6 级专精 −30%</t>
        </is>
      </c>
      <c r="B276" s="8" t="inlineStr">
        <is>
          <t>6 级专精 −30%</t>
        </is>
      </c>
      <c r="C276" s="8" t="inlineStr">
        <is>
          <t>Tier-6 specialisation −30%</t>
        </is>
      </c>
      <c r="D276" s="8" t="inlineStr">
        <is>
          <t>Spécialisation niv. 6 −30 %</t>
        </is>
      </c>
    </row>
    <row r="277">
      <c r="A277" s="6" t="inlineStr">
        <is>
          <t>副</t>
        </is>
      </c>
      <c r="B277" s="8" t="inlineStr">
        <is>
          <t>副</t>
        </is>
      </c>
      <c r="C277" s="8" t="inlineStr">
        <is>
          <t>2nd</t>
        </is>
      </c>
      <c r="D277" s="8" t="inlineStr">
        <is>
          <t>2e</t>
        </is>
      </c>
    </row>
    <row r="278">
      <c r="A278" s="6" t="inlineStr">
        <is>
          <t>副路线</t>
        </is>
      </c>
      <c r="B278" s="8" t="inlineStr">
        <is>
          <t>副路线</t>
        </is>
      </c>
      <c r="C278" s="8" t="inlineStr">
        <is>
          <t>Secondary</t>
        </is>
      </c>
      <c r="D278" s="8" t="inlineStr">
        <is>
          <t>Secondaire</t>
        </is>
      </c>
    </row>
    <row r="279">
      <c r="A279" s="6" t="inlineStr">
        <is>
          <t>6 级会移除副路线，已花的 {n} GST 抵扣</t>
        </is>
      </c>
      <c r="B279" s="8" t="inlineStr">
        <is>
          <t>6 级会移除副路线，已花的 {n} GST 抵扣</t>
        </is>
      </c>
      <c r="C279" s="8" t="inlineStr">
        <is>
          <t>Tier 6 removes the secondary path; the {n} GST spent on it is credited</t>
        </is>
      </c>
      <c r="D279" s="8" t="inlineStr">
        <is>
          <t>Le niveau 6 retire la voie secondaire ; les {n} GST dépensés sont déduits</t>
        </is>
      </c>
    </row>
    <row r="280">
      <c r="A280" s="6" t="inlineStr">
        <is>
          <t>点地图上的跑道…</t>
        </is>
      </c>
      <c r="B280" s="8" t="inlineStr">
        <is>
          <t>点地图上的跑道…</t>
        </is>
      </c>
      <c r="C280" s="8" t="inlineStr">
        <is>
          <t>Tap the track…</t>
        </is>
      </c>
      <c r="D280" s="8" t="inlineStr">
        <is>
          <t>Touche la piste…</t>
        </is>
      </c>
    </row>
    <row r="281">
      <c r="A281" s="6" t="inlineStr">
        <is>
          <t>🎯 设定投递区</t>
        </is>
      </c>
      <c r="B281" s="8" t="inlineStr">
        <is>
          <t>🎯 设定投递区</t>
        </is>
      </c>
      <c r="C281" s="8" t="inlineStr">
        <is>
          <t>🎯 Set drop zone</t>
        </is>
      </c>
      <c r="D281" s="8" t="inlineStr">
        <is>
          <t>🎯 Zone de largage</t>
        </is>
      </c>
    </row>
    <row r="282">
      <c r="A282" s="6" t="inlineStr">
        <is>
          <t>🎯 设定布阵路段</t>
        </is>
      </c>
      <c r="B282" s="8" t="inlineStr">
        <is>
          <t>🎯 设定布阵路段</t>
        </is>
      </c>
      <c r="C282" s="8" t="inlineStr">
        <is>
          <t>🎯 Set trap stretch</t>
        </is>
      </c>
      <c r="D282" s="8" t="inlineStr">
        <is>
          <t>🎯 Tronçon à piéger</t>
        </is>
      </c>
    </row>
    <row r="283">
      <c r="A283" s="6" t="inlineStr">
        <is>
          <t>两条路线可各升到 2 级；先到 3 级的是主路线，最高 5 级；6 级专精会移除副路线</t>
        </is>
      </c>
      <c r="B283" s="8" t="inlineStr">
        <is>
          <t>两条路线可各升到 2 级；先到 3 级的是主路线，最高 5 级；6 级专精会移除副路线</t>
        </is>
      </c>
      <c r="C283" s="8" t="inlineStr">
        <is>
          <t>Two paths can each reach tier 2; the first to tier 3 becomes main (up to 5); tier 6 specialisation removes the secondary</t>
        </is>
      </c>
      <c r="D283" s="8" t="inlineStr">
        <is>
          <t>Deux voies peuvent atteindre le niveau 2 ; la première au niveau 3 devient principale (jusqu’à 5) ; la spécialisation niv. 6 retire la secondaire</t>
        </is>
      </c>
    </row>
    <row r="284">
      <c r="A284" s="6" t="inlineStr">
        <is>
          <t>{x} 专精！</t>
        </is>
      </c>
      <c r="B284" s="8" t="inlineStr">
        <is>
          <t>{x} 专精！</t>
        </is>
      </c>
      <c r="C284" s="8" t="inlineStr">
        <is>
          <t>{x} specialisation!</t>
        </is>
      </c>
      <c r="D284" s="8" t="inlineStr">
        <is>
          <t>Spécialisation : {x} !</t>
        </is>
      </c>
    </row>
    <row r="285">
      <c r="A285" s="6" t="inlineStr">
        <is>
          <t>场上上限</t>
        </is>
      </c>
      <c r="B285" s="8" t="inlineStr">
        <is>
          <t>场上上限</t>
        </is>
      </c>
      <c r="C285" s="8" t="inlineStr">
        <is>
          <t>Max on track</t>
        </is>
      </c>
      <c r="D285" s="8" t="inlineStr">
        <is>
          <t>Max sur piste</t>
        </is>
      </c>
    </row>
    <row r="286">
      <c r="A286" s="6" t="inlineStr">
        <is>
          <t>每次箱数</t>
        </is>
      </c>
      <c r="B286" s="8" t="inlineStr">
        <is>
          <t>每次箱数</t>
        </is>
      </c>
      <c r="C286" s="8" t="inlineStr">
        <is>
          <t>Boxes per run</t>
        </is>
      </c>
      <c r="D286" s="8" t="inlineStr">
        <is>
          <t>Boîtes par sortie</t>
        </is>
      </c>
    </row>
    <row r="287">
      <c r="A287" s="6" t="inlineStr">
        <is>
          <t>每次招呼</t>
        </is>
      </c>
      <c r="B287" s="8" t="inlineStr">
        <is>
          <t>每次招呼</t>
        </is>
      </c>
      <c r="C287" s="8" t="inlineStr">
        <is>
          <t>Per invite</t>
        </is>
      </c>
      <c r="D287" s="8" t="inlineStr">
        <is>
          <t>Par invitation</t>
        </is>
      </c>
    </row>
    <row r="288">
      <c r="A288" s="6" t="inlineStr">
        <is>
          <t>停留</t>
        </is>
      </c>
      <c r="B288" s="8" t="inlineStr">
        <is>
          <t>停留</t>
        </is>
      </c>
      <c r="C288" s="8" t="inlineStr">
        <is>
          <t>Stay</t>
        </is>
      </c>
      <c r="D288" s="8" t="inlineStr">
        <is>
          <t>Arrêt</t>
        </is>
      </c>
    </row>
    <row r="289">
      <c r="A289" s="6" t="inlineStr">
        <is>
          <t>{x} 的动画 JSON 读不出来</t>
        </is>
      </c>
      <c r="B289" s="8" t="inlineStr">
        <is>
          <t>{x} 的动画 JSON 读不出来</t>
        </is>
      </c>
      <c r="C289" s="8" t="inlineStr">
        <is>
          <t>Could not read the animation JSON for {x}</t>
        </is>
      </c>
      <c r="D289" s="8" t="inlineStr">
        <is>
          <t>Impossible de lire le JSON d’animation de {x}</t>
        </is>
      </c>
    </row>
    <row r="290">
      <c r="A290" s="6" t="inlineStr">
        <is>
          <t>弹道 {x} {k}</t>
        </is>
      </c>
      <c r="B290" s="8" t="inlineStr">
        <is>
          <t>弹道 {x} {k}</t>
        </is>
      </c>
      <c r="C290" s="8" t="inlineStr">
        <is>
          <t>Trajectory {x} {k}</t>
        </is>
      </c>
      <c r="D290" s="8" t="inlineStr">
        <is>
          <t>Trajectoire {x} {k}</t>
        </is>
      </c>
    </row>
    <row r="291">
      <c r="A291" s="6" t="inlineStr">
        <is>
          <t>装置 {x}：基础附加效果「{y}」写法有误，保留原效果</t>
        </is>
      </c>
      <c r="B291" s="8" t="inlineStr">
        <is>
          <t>装置 {x}：基础附加效果「{y}」写法有误，保留原效果</t>
        </is>
      </c>
      <c r="C291" s="8" t="inlineStr">
        <is>
          <t>Device {x}: base extra effect “{y}” is malformed, kept the original</t>
        </is>
      </c>
      <c r="D291" s="8" t="inlineStr">
        <is>
          <t>Dispositif {x} : effet de base « {y} » mal écrit, original conservé</t>
        </is>
      </c>
    </row>
    <row r="292">
      <c r="A292" s="6" t="inlineStr">
        <is>
          <t>导入美术图片 / 动画（可多选）</t>
        </is>
      </c>
      <c r="B292" s="8" t="inlineStr">
        <is>
          <t>导入美术图片 / 动画（可多选）</t>
        </is>
      </c>
      <c r="C292" s="8" t="inlineStr">
        <is>
          <t>Import art / animations (multi-select)</t>
        </is>
      </c>
      <c r="D292" s="8" t="inlineStr">
        <is>
          <t>Importer images / animations (plusieurs)</t>
        </is>
      </c>
    </row>
    <row r="293">
      <c r="A293" s="6" t="inlineStr">
        <is>
          <t>点跑道，设定投递区（Esc 取消）</t>
        </is>
      </c>
      <c r="B293" s="8" t="inlineStr">
        <is>
          <t>点跑道，设定投递区（Esc 取消）</t>
        </is>
      </c>
      <c r="C293" s="8" t="inlineStr">
        <is>
          <t>Tap the track to set the drop zone (Esc to cancel)</t>
        </is>
      </c>
      <c r="D293" s="8" t="inlineStr">
        <is>
          <t>Touche la piste pour choisir la zone de largage (Échap pour annuler)</t>
        </is>
      </c>
    </row>
    <row r="294">
      <c r="A294" s="6" t="inlineStr">
        <is>
          <t>点跑道，设定布阵路段（Esc 取消）</t>
        </is>
      </c>
      <c r="B294" s="8" t="inlineStr">
        <is>
          <t>点跑道，设定布阵路段（Esc 取消）</t>
        </is>
      </c>
      <c r="C294" s="8" t="inlineStr">
        <is>
          <t>Tap the track to set the trap stretch (Esc to cancel)</t>
        </is>
      </c>
      <c r="D294" s="8" t="inlineStr">
        <is>
          <t>Touche la piste pour choisir le tronçon à piéger (Échap pour annuler)</t>
        </is>
      </c>
    </row>
    <row r="295">
      <c r="A295" s="6" t="inlineStr">
        <is>
          <t>放不下</t>
        </is>
      </c>
      <c r="B295" s="8" t="inlineStr">
        <is>
          <t>放不下</t>
        </is>
      </c>
      <c r="C295" s="8" t="inlineStr">
        <is>
          <t>No room</t>
        </is>
      </c>
      <c r="D295" s="8" t="inlineStr">
        <is>
          <t>Pas de place</t>
        </is>
      </c>
    </row>
    <row r="296">
      <c r="A296" s="6" t="inlineStr">
        <is>
          <t>再点一次重新开始</t>
        </is>
      </c>
      <c r="B296" s="8" t="inlineStr">
        <is>
          <t>再点一次重新开始</t>
        </is>
      </c>
      <c r="C296" s="8" t="inlineStr">
        <is>
          <t>Tap again to restart</t>
        </is>
      </c>
      <c r="D296" s="8" t="inlineStr">
        <is>
          <t>Touche encore pour recommencer</t>
        </is>
      </c>
    </row>
    <row r="297">
      <c r="A297" s="6" t="inlineStr">
        <is>
          <t>重开本关</t>
        </is>
      </c>
      <c r="B297" s="8" t="inlineStr">
        <is>
          <t>重开本关</t>
        </is>
      </c>
      <c r="C297" s="8" t="inlineStr">
        <is>
          <t>Restart level</t>
        </is>
      </c>
      <c r="D297" s="8" t="inlineStr">
        <is>
          <t>Rejouer le niveau</t>
        </is>
      </c>
    </row>
    <row r="298">
      <c r="A298" s="6" t="inlineStr">
        <is>
          <t>重新开始</t>
        </is>
      </c>
      <c r="B298" s="8" t="inlineStr">
        <is>
          <t>重新开始</t>
        </is>
      </c>
      <c r="C298" s="8" t="inlineStr">
        <is>
          <t>Restart</t>
        </is>
      </c>
      <c r="D298" s="8" t="inlineStr">
        <is>
          <t>Recommencer</t>
        </is>
      </c>
    </row>
    <row r="299">
      <c r="A299" s="6" t="inlineStr">
        <is>
          <t>↻ 重新开始</t>
        </is>
      </c>
      <c r="B299" s="8" t="inlineStr">
        <is>
          <t>↻ 重新开始</t>
        </is>
      </c>
      <c r="C299" s="8" t="inlineStr">
        <is>
          <t>↻ Restart</t>
        </is>
      </c>
      <c r="D299" s="8" t="inlineStr">
        <is>
          <t>↻ Recommencer</t>
        </is>
      </c>
    </row>
    <row r="300">
      <c r="A300" s="6" t="inlineStr">
        <is>
          <t>点跑道外任意空地放置装置（每种装置占的格子不同），再点已放的装置升级。每个装置最多发展两条路线：都能先升到 2 级，先到 3 级的成为主路线，可升到 5 级；6 级专精会移除副路线，已花的钱抵扣。</t>
        </is>
      </c>
      <c r="B300" s="8" t="inlineStr">
        <is>
          <t>点跑道外任意空地放置装置（每种装置占的格子不同），再点已放的装置升级。每个装置最多发展两条路线：都能先升到 2 级，先到 3 级的成为主路线，可升到 5 级；6 级专精会移除副路线，已花的钱抵扣。</t>
        </is>
      </c>
      <c r="C300" s="8" t="inlineStr">
        <is>
          <t>Tap any free ground off the track to place a device (each device takes a different number of cells), then tap it to upgrade. Each device can grow two paths: both can reach tier 2, the first to tier 3 becomes main and goes up to 5; tier 6 specialisation removes the secondary path and credits what you spent on it.</t>
        </is>
      </c>
      <c r="D300" s="8" t="inlineStr">
        <is>
          <t>Touche n’importe quel terrain libre hors de la piste pour poser un dispositif (chacun occupe un nombre de cases différent), puis touche-le pour l’améliorer. Deux voies maximum : les deux peuvent atteindre le niveau 2, la première au niveau 3 devient principale jusqu’au 5 ; la spécialisation niv. 6 retire la secondaire et déduit ce que tu y as dépensé.</t>
        </is>
      </c>
    </row>
    <row r="301">
      <c r="A301" s="6" t="inlineStr">
        <is>
          <t>点跑道外的空地放置装置，再点装置直接升级。</t>
        </is>
      </c>
      <c r="B301" s="8" t="inlineStr">
        <is>
          <t>点跑道外的空地放置装置，再点装置直接升级。</t>
        </is>
      </c>
      <c r="C301" s="8" t="inlineStr">
        <is>
          <t>Tap any free ground off the track to place a device, then tap the device to upgrade it.</t>
        </is>
      </c>
      <c r="D301" s="8" t="inlineStr">
        <is>
          <t>Touchez un terrain libre hors de la piste pour poser un dispositif, puis touchez-le pour l’améliorer.</t>
        </is>
      </c>
    </row>
    <row r="302">
      <c r="A302" s="6" t="inlineStr">
        <is>
          <t>点跑道外的空地放置装置，再点「开始第 1 波」</t>
        </is>
      </c>
      <c r="B302" s="8" t="inlineStr">
        <is>
          <t>点跑道外的空地放置装置，再点「开始第 1 波」</t>
        </is>
      </c>
      <c r="C302" s="8" t="inlineStr">
        <is>
          <t>Tap free ground off the track to place a device, then press “Start wave 1”</t>
        </is>
      </c>
      <c r="D302" s="8" t="inlineStr">
        <is>
          <t>Touchez un terrain libre hors de la piste pour poser un dispositif, puis « Lancer la vague 1 »</t>
        </is>
      </c>
    </row>
    <row r="304">
      <c r="A304"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03"/>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IFERROR((G3/F3)/(SUMIFS($G$3:$G$97,$A$3:$A$97,A3,$B$3:$B$97,0)/SUMIFS($F$3:$F$97,$A$3:$A$97,A3,$B$3:$B$97,0)),"")</f>
        <v/>
      </c>
      <c r="J3" s="14">
        <f>IFERROR(IF(B3=0,1,IF(C3&lt;=1,G3-SUMIFS($G$3:$G$97,$A$3:$A$97,A3,$B$3:$B$97,0),G3-G2)/E3/(SUMIFS($G$3:$G$97,$A$3:$A$97,A3,$B$3:$B$97,0)/SUMIFS($F$3:$F$97,$A$3:$A$97,A3,$B$3:$B$97,0))),"")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IFERROR((G4/F4)/(SUMIFS($G$3:$G$97,$A$3:$A$97,A4,$B$3:$B$97,0)/SUMIFS($F$3:$F$97,$A$3:$A$97,A4,$B$3:$B$97,0)),"")</f>
        <v/>
      </c>
      <c r="J4" s="14">
        <f>IFERROR(IF(B4=0,1,IF(C4&lt;=1,G4-SUMIFS($G$3:$G$97,$A$3:$A$97,A4,$B$3:$B$97,0),G4-G3)/E4/(SUMIFS($G$3:$G$97,$A$3:$A$97,A4,$B$3:$B$97,0)/SUMIFS($F$3:$F$97,$A$3:$A$97,A4,$B$3:$B$97,0))),"")</f>
        <v/>
      </c>
      <c r="K4" s="9" t="n">
        <v>0.419</v>
      </c>
      <c r="L4" s="9" t="n">
        <v>0.337</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IFERROR((G5/F5)/(SUMIFS($G$3:$G$97,$A$3:$A$97,A5,$B$3:$B$97,0)/SUMIFS($F$3:$F$97,$A$3:$A$97,A5,$B$3:$B$97,0)),"")</f>
        <v/>
      </c>
      <c r="J5" s="14">
        <f>IFERROR(IF(B5=0,1,IF(C5&lt;=1,G5-SUMIFS($G$3:$G$97,$A$3:$A$97,A5,$B$3:$B$97,0),G5-G4)/E5/(SUMIFS($G$3:$G$97,$A$3:$A$97,A5,$B$3:$B$97,0)/SUMIFS($F$3:$F$97,$A$3:$A$97,A5,$B$3:$B$97,0))),"")</f>
        <v/>
      </c>
      <c r="K5" s="9" t="n">
        <v>0.468</v>
      </c>
      <c r="L5" s="9" t="n">
        <v>0.5570000000000001</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IFERROR((G6/F6)/(SUMIFS($G$3:$G$97,$A$3:$A$97,A6,$B$3:$B$97,0)/SUMIFS($F$3:$F$97,$A$3:$A$97,A6,$B$3:$B$97,0)),"")</f>
        <v/>
      </c>
      <c r="J6" s="14">
        <f>IFERROR(IF(B6=0,1,IF(C6&lt;=1,G6-SUMIFS($G$3:$G$97,$A$3:$A$97,A6,$B$3:$B$97,0),G6-G5)/E6/(SUMIFS($G$3:$G$97,$A$3:$A$97,A6,$B$3:$B$97,0)/SUMIFS($F$3:$F$97,$A$3:$A$97,A6,$B$3:$B$97,0))),"")</f>
        <v/>
      </c>
      <c r="K6" s="9" t="n">
        <v>0.778</v>
      </c>
      <c r="L6" s="9" t="n">
        <v>0.793</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IFERROR((G7/F7)/(SUMIFS($G$3:$G$97,$A$3:$A$97,A7,$B$3:$B$97,0)/SUMIFS($F$3:$F$97,$A$3:$A$97,A7,$B$3:$B$97,0)),"")</f>
        <v/>
      </c>
      <c r="J7" s="14">
        <f>IFERROR(IF(B7=0,1,IF(C7&lt;=1,G7-SUMIFS($G$3:$G$97,$A$3:$A$97,A7,$B$3:$B$97,0),G7-G6)/E7/(SUMIFS($G$3:$G$97,$A$3:$A$97,A7,$B$3:$B$97,0)/SUMIFS($F$3:$F$97,$A$3:$A$97,A7,$B$3:$B$97,0))),"")</f>
        <v/>
      </c>
      <c r="K7" s="9" t="n">
        <v>0.831</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IFERROR((G8/F8)/(SUMIFS($G$3:$G$97,$A$3:$A$97,A8,$B$3:$B$97,0)/SUMIFS($F$3:$F$97,$A$3:$A$97,A8,$B$3:$B$97,0)),"")</f>
        <v/>
      </c>
      <c r="J8" s="14">
        <f>IFERROR(IF(B8=0,1,IF(C8&lt;=1,G8-SUMIFS($G$3:$G$97,$A$3:$A$97,A8,$B$3:$B$97,0),G8-G7)/E8/(SUMIFS($G$3:$G$97,$A$3:$A$97,A8,$B$3:$B$97,0)/SUMIFS($F$3:$F$97,$A$3:$A$97,A8,$B$3:$B$97,0))),"")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IFERROR((G9/F9)/(SUMIFS($G$3:$G$97,$A$3:$A$97,A9,$B$3:$B$97,0)/SUMIFS($F$3:$F$97,$A$3:$A$97,A9,$B$3:$B$97,0)),"")</f>
        <v/>
      </c>
      <c r="J9" s="14">
        <f>IFERROR(IF(B9=0,1,IF(C9&lt;=1,G9-SUMIFS($G$3:$G$97,$A$3:$A$97,A9,$B$3:$B$97,0),G9-G8)/E9/(SUMIFS($G$3:$G$97,$A$3:$A$97,A9,$B$3:$B$97,0)/SUMIFS($F$3:$F$97,$A$3:$A$97,A9,$B$3:$B$97,0))),"")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IFERROR((G10/F10)/(SUMIFS($G$3:$G$97,$A$3:$A$97,A10,$B$3:$B$97,0)/SUMIFS($F$3:$F$97,$A$3:$A$97,A10,$B$3:$B$97,0)),"")</f>
        <v/>
      </c>
      <c r="J10" s="14">
        <f>IFERROR(IF(B10=0,1,IF(C10&lt;=1,G10-SUMIFS($G$3:$G$97,$A$3:$A$97,A10,$B$3:$B$97,0),G10-G9)/E10/(SUMIFS($G$3:$G$97,$A$3:$A$97,A10,$B$3:$B$97,0)/SUMIFS($F$3:$F$97,$A$3:$A$97,A10,$B$3:$B$97,0))),"")</f>
        <v/>
      </c>
      <c r="K10" s="9" t="n">
        <v>0.267</v>
      </c>
      <c r="L10" s="9" t="n">
        <v>0.299</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IFERROR((G11/F11)/(SUMIFS($G$3:$G$97,$A$3:$A$97,A11,$B$3:$B$97,0)/SUMIFS($F$3:$F$97,$A$3:$A$97,A11,$B$3:$B$97,0)),"")</f>
        <v/>
      </c>
      <c r="J11" s="14">
        <f>IFERROR(IF(B11=0,1,IF(C11&lt;=1,G11-SUMIFS($G$3:$G$97,$A$3:$A$97,A11,$B$3:$B$97,0),G11-G10)/E11/(SUMIFS($G$3:$G$97,$A$3:$A$97,A11,$B$3:$B$97,0)/SUMIFS($F$3:$F$97,$A$3:$A$97,A11,$B$3:$B$97,0))),"")</f>
        <v/>
      </c>
      <c r="K11" s="9" t="n">
        <v>0.31</v>
      </c>
      <c r="L11" s="9" t="n">
        <v>0.464</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IFERROR((G12/F12)/(SUMIFS($G$3:$G$97,$A$3:$A$97,A12,$B$3:$B$97,0)/SUMIFS($F$3:$F$97,$A$3:$A$97,A12,$B$3:$B$97,0)),"")</f>
        <v/>
      </c>
      <c r="J12" s="14">
        <f>IFERROR(IF(B12=0,1,IF(C12&lt;=1,G12-SUMIFS($G$3:$G$97,$A$3:$A$97,A12,$B$3:$B$97,0),G12-G11)/E12/(SUMIFS($G$3:$G$97,$A$3:$A$97,A12,$B$3:$B$97,0)/SUMIFS($F$3:$F$97,$A$3:$A$97,A12,$B$3:$B$97,0))),"")</f>
        <v/>
      </c>
      <c r="K12" s="9" t="n">
        <v>0.378</v>
      </c>
      <c r="L12" s="9" t="n">
        <v>0.73</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IFERROR((G13/F13)/(SUMIFS($G$3:$G$97,$A$3:$A$97,A13,$B$3:$B$97,0)/SUMIFS($F$3:$F$97,$A$3:$A$97,A13,$B$3:$B$97,0)),"")</f>
        <v/>
      </c>
      <c r="J13" s="14">
        <f>IFERROR(IF(B13=0,1,IF(C13&lt;=1,G13-SUMIFS($G$3:$G$97,$A$3:$A$97,A13,$B$3:$B$97,0),G13-G12)/E13/(SUMIFS($G$3:$G$97,$A$3:$A$97,A13,$B$3:$B$97,0)/SUMIFS($F$3:$F$97,$A$3:$A$97,A13,$B$3:$B$97,0))),"")</f>
        <v/>
      </c>
      <c r="K13" s="9" t="n">
        <v>0.441</v>
      </c>
      <c r="L13" s="9" t="n">
        <v>0.959</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IFERROR((G14/F14)/(SUMIFS($G$3:$G$97,$A$3:$A$97,A14,$B$3:$B$97,0)/SUMIFS($F$3:$F$97,$A$3:$A$97,A14,$B$3:$B$97,0)),"")</f>
        <v/>
      </c>
      <c r="J14" s="14">
        <f>IFERROR(IF(B14=0,1,IF(C14&lt;=1,G14-SUMIFS($G$3:$G$97,$A$3:$A$97,A14,$B$3:$B$97,0),G14-G13)/E14/(SUMIFS($G$3:$G$97,$A$3:$A$97,A14,$B$3:$B$97,0)/SUMIFS($F$3:$F$97,$A$3:$A$97,A14,$B$3:$B$97,0))),"")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IFERROR((G15/F15)/(SUMIFS($G$3:$G$97,$A$3:$A$97,A15,$B$3:$B$97,0)/SUMIFS($F$3:$F$97,$A$3:$A$97,A15,$B$3:$B$97,0)),"")</f>
        <v/>
      </c>
      <c r="J15" s="14">
        <f>IFERROR(IF(B15=0,1,IF(C15&lt;=1,G15-SUMIFS($G$3:$G$97,$A$3:$A$97,A15,$B$3:$B$97,0),G15-G14)/E15/(SUMIFS($G$3:$G$97,$A$3:$A$97,A15,$B$3:$B$97,0)/SUMIFS($F$3:$F$97,$A$3:$A$97,A15,$B$3:$B$97,0))),"")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IFERROR((G16/F16)/(SUMIFS($G$3:$G$97,$A$3:$A$97,A16,$B$3:$B$97,0)/SUMIFS($F$3:$F$97,$A$3:$A$97,A16,$B$3:$B$97,0)),"")</f>
        <v/>
      </c>
      <c r="J16" s="14">
        <f>IFERROR(IF(B16=0,1,IF(C16&lt;=1,G16-SUMIFS($G$3:$G$97,$A$3:$A$97,A16,$B$3:$B$97,0),G16-G15)/E16/(SUMIFS($G$3:$G$97,$A$3:$A$97,A16,$B$3:$B$97,0)/SUMIFS($F$3:$F$97,$A$3:$A$97,A16,$B$3:$B$97,0))),"")</f>
        <v/>
      </c>
      <c r="K16" s="9" t="n">
        <v>0.238</v>
      </c>
      <c r="L16" s="9" t="n">
        <v>0.312</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IFERROR((G17/F17)/(SUMIFS($G$3:$G$97,$A$3:$A$97,A17,$B$3:$B$97,0)/SUMIFS($F$3:$F$97,$A$3:$A$97,A17,$B$3:$B$97,0)),"")</f>
        <v/>
      </c>
      <c r="J17" s="14">
        <f>IFERROR(IF(B17=0,1,IF(C17&lt;=1,G17-SUMIFS($G$3:$G$97,$A$3:$A$97,A17,$B$3:$B$97,0),G17-G16)/E17/(SUMIFS($G$3:$G$97,$A$3:$A$97,A17,$B$3:$B$97,0)/SUMIFS($F$3:$F$97,$A$3:$A$97,A17,$B$3:$B$97,0))),"")</f>
        <v/>
      </c>
      <c r="K17" s="9" t="n">
        <v>0.227</v>
      </c>
      <c r="L17" s="9" t="n">
        <v>0.523</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IFERROR((G18/F18)/(SUMIFS($G$3:$G$97,$A$3:$A$97,A18,$B$3:$B$97,0)/SUMIFS($F$3:$F$97,$A$3:$A$97,A18,$B$3:$B$97,0)),"")</f>
        <v/>
      </c>
      <c r="J18" s="14">
        <f>IFERROR(IF(B18=0,1,IF(C18&lt;=1,G18-SUMIFS($G$3:$G$97,$A$3:$A$97,A18,$B$3:$B$97,0),G18-G17)/E18/(SUMIFS($G$3:$G$97,$A$3:$A$97,A18,$B$3:$B$97,0)/SUMIFS($F$3:$F$97,$A$3:$A$97,A18,$B$3:$B$97,0))),"")</f>
        <v/>
      </c>
      <c r="K18" s="9" t="n">
        <v>0.203</v>
      </c>
      <c r="L18" s="9" t="n">
        <v>0.793</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IFERROR((G19/F19)/(SUMIFS($G$3:$G$97,$A$3:$A$97,A19,$B$3:$B$97,0)/SUMIFS($F$3:$F$97,$A$3:$A$97,A19,$B$3:$B$97,0)),"")</f>
        <v/>
      </c>
      <c r="J19" s="14">
        <f>IFERROR(IF(B19=0,1,IF(C19&lt;=1,G19-SUMIFS($G$3:$G$97,$A$3:$A$97,A19,$B$3:$B$97,0),G19-G18)/E19/(SUMIFS($G$3:$G$97,$A$3:$A$97,A19,$B$3:$B$97,0)/SUMIFS($F$3:$F$97,$A$3:$A$97,A19,$B$3:$B$97,0))),"")</f>
        <v/>
      </c>
      <c r="K19" s="9" t="n">
        <v>0.244</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IFERROR((G20/F20)/(SUMIFS($G$3:$G$97,$A$3:$A$97,A20,$B$3:$B$97,0)/SUMIFS($F$3:$F$97,$A$3:$A$97,A20,$B$3:$B$97,0)),"")</f>
        <v/>
      </c>
      <c r="J20" s="14">
        <f>IFERROR(IF(B20=0,1,IF(C20&lt;=1,G20-SUMIFS($G$3:$G$97,$A$3:$A$97,A20,$B$3:$B$97,0),G20-G19)/E20/(SUMIFS($G$3:$G$97,$A$3:$A$97,A20,$B$3:$B$97,0)/SUMIFS($F$3:$F$97,$A$3:$A$97,A20,$B$3:$B$97,0))),"")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IFERROR((G21/F21)/(SUMIFS($G$3:$G$97,$A$3:$A$97,A21,$B$3:$B$97,0)/SUMIFS($F$3:$F$97,$A$3:$A$97,A21,$B$3:$B$97,0)),"")</f>
        <v/>
      </c>
      <c r="J21" s="14">
        <f>IFERROR(IF(B21=0,1,IF(C21&lt;=1,G21-SUMIFS($G$3:$G$97,$A$3:$A$97,A21,$B$3:$B$97,0),G21-G20)/E21/(SUMIFS($G$3:$G$97,$A$3:$A$97,A21,$B$3:$B$97,0)/SUMIFS($F$3:$F$97,$A$3:$A$97,A21,$B$3:$B$97,0))),"")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IFERROR((G22/F22)/(SUMIFS($G$3:$G$97,$A$3:$A$97,A22,$B$3:$B$97,0)/SUMIFS($F$3:$F$97,$A$3:$A$97,A22,$B$3:$B$97,0)),"")</f>
        <v/>
      </c>
      <c r="J22" s="14">
        <f>IFERROR(IF(B22=0,1,IF(C22&lt;=1,G22-SUMIFS($G$3:$G$97,$A$3:$A$97,A22,$B$3:$B$97,0),G22-G21)/E22/(SUMIFS($G$3:$G$97,$A$3:$A$97,A22,$B$3:$B$97,0)/SUMIFS($F$3:$F$97,$A$3:$A$97,A22,$B$3:$B$97,0))),"")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IFERROR((G23/F23)/(SUMIFS($G$3:$G$97,$A$3:$A$97,A23,$B$3:$B$97,0)/SUMIFS($F$3:$F$97,$A$3:$A$97,A23,$B$3:$B$97,0)),"")</f>
        <v/>
      </c>
      <c r="J23" s="14">
        <f>IFERROR(IF(B23=0,1,IF(C23&lt;=1,G23-SUMIFS($G$3:$G$97,$A$3:$A$97,A23,$B$3:$B$97,0),G23-G22)/E23/(SUMIFS($G$3:$G$97,$A$3:$A$97,A23,$B$3:$B$97,0)/SUMIFS($F$3:$F$97,$A$3:$A$97,A23,$B$3:$B$97,0))),"")</f>
        <v/>
      </c>
      <c r="K23" s="9" t="n">
        <v>0.424</v>
      </c>
      <c r="L23" s="9" t="n">
        <v>0.529</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IFERROR((G24/F24)/(SUMIFS($G$3:$G$97,$A$3:$A$97,A24,$B$3:$B$97,0)/SUMIFS($F$3:$F$97,$A$3:$A$97,A24,$B$3:$B$97,0)),"")</f>
        <v/>
      </c>
      <c r="J24" s="14">
        <f>IFERROR(IF(B24=0,1,IF(C24&lt;=1,G24-SUMIFS($G$3:$G$97,$A$3:$A$97,A24,$B$3:$B$97,0),G24-G23)/E24/(SUMIFS($G$3:$G$97,$A$3:$A$97,A24,$B$3:$B$97,0)/SUMIFS($F$3:$F$97,$A$3:$A$97,A24,$B$3:$B$97,0))),"")</f>
        <v/>
      </c>
      <c r="K24" s="9" t="n">
        <v>0.444</v>
      </c>
      <c r="L24" s="9" t="n">
        <v>0.742</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IFERROR((G25/F25)/(SUMIFS($G$3:$G$97,$A$3:$A$97,A25,$B$3:$B$97,0)/SUMIFS($F$3:$F$97,$A$3:$A$97,A25,$B$3:$B$97,0)),"")</f>
        <v/>
      </c>
      <c r="J25" s="14">
        <f>IFERROR(IF(B25=0,1,IF(C25&lt;=1,G25-SUMIFS($G$3:$G$97,$A$3:$A$97,A25,$B$3:$B$97,0),G25-G24)/E25/(SUMIFS($G$3:$G$97,$A$3:$A$97,A25,$B$3:$B$97,0)/SUMIFS($F$3:$F$97,$A$3:$A$97,A25,$B$3:$B$97,0))),"")</f>
        <v/>
      </c>
      <c r="K25" s="9" t="n">
        <v>0.988</v>
      </c>
      <c r="L25" s="9" t="n">
        <v>0.997</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IFERROR((G26/F26)/(SUMIFS($G$3:$G$97,$A$3:$A$97,A26,$B$3:$B$97,0)/SUMIFS($F$3:$F$97,$A$3:$A$97,A26,$B$3:$B$97,0)),"")</f>
        <v/>
      </c>
      <c r="J26" s="14">
        <f>IFERROR(IF(B26=0,1,IF(C26&lt;=1,G26-SUMIFS($G$3:$G$97,$A$3:$A$97,A26,$B$3:$B$97,0),G26-G25)/E26/(SUMIFS($G$3:$G$97,$A$3:$A$97,A26,$B$3:$B$97,0)/SUMIFS($F$3:$F$97,$A$3:$A$97,A26,$B$3:$B$97,0))),"")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IFERROR((G27/F27)/(SUMIFS($G$3:$G$97,$A$3:$A$97,A27,$B$3:$B$97,0)/SUMIFS($F$3:$F$97,$A$3:$A$97,A27,$B$3:$B$97,0)),"")</f>
        <v/>
      </c>
      <c r="J27" s="14">
        <f>IFERROR(IF(B27=0,1,IF(C27&lt;=1,G27-SUMIFS($G$3:$G$97,$A$3:$A$97,A27,$B$3:$B$97,0),G27-G26)/E27/(SUMIFS($G$3:$G$97,$A$3:$A$97,A27,$B$3:$B$97,0)/SUMIFS($F$3:$F$97,$A$3:$A$97,A27,$B$3:$B$97,0))),"")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IFERROR((G28/F28)/(SUMIFS($G$3:$G$97,$A$3:$A$97,A28,$B$3:$B$97,0)/SUMIFS($F$3:$F$97,$A$3:$A$97,A28,$B$3:$B$97,0)),"")</f>
        <v/>
      </c>
      <c r="J28" s="14">
        <f>IFERROR(IF(B28=0,1,IF(C28&lt;=1,G28-SUMIFS($G$3:$G$97,$A$3:$A$97,A28,$B$3:$B$97,0),G28-G27)/E28/(SUMIFS($G$3:$G$97,$A$3:$A$97,A28,$B$3:$B$97,0)/SUMIFS($F$3:$F$97,$A$3:$A$97,A28,$B$3:$B$97,0))),"")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IFERROR((G29/F29)/(SUMIFS($G$3:$G$97,$A$3:$A$97,A29,$B$3:$B$97,0)/SUMIFS($F$3:$F$97,$A$3:$A$97,A29,$B$3:$B$97,0)),"")</f>
        <v/>
      </c>
      <c r="J29" s="14">
        <f>IFERROR(IF(B29=0,1,IF(C29&lt;=1,G29-SUMIFS($G$3:$G$97,$A$3:$A$97,A29,$B$3:$B$97,0),G29-G28)/E29/(SUMIFS($G$3:$G$97,$A$3:$A$97,A29,$B$3:$B$97,0)/SUMIFS($F$3:$F$97,$A$3:$A$97,A29,$B$3:$B$97,0))),"")</f>
        <v/>
      </c>
      <c r="K29" s="9" t="n">
        <v>0.444</v>
      </c>
      <c r="L29" s="9" t="n">
        <v>0.529</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IFERROR((G30/F30)/(SUMIFS($G$3:$G$97,$A$3:$A$97,A30,$B$3:$B$97,0)/SUMIFS($F$3:$F$97,$A$3:$A$97,A30,$B$3:$B$97,0)),"")</f>
        <v/>
      </c>
      <c r="J30" s="14">
        <f>IFERROR(IF(B30=0,1,IF(C30&lt;=1,G30-SUMIFS($G$3:$G$97,$A$3:$A$97,A30,$B$3:$B$97,0),G30-G29)/E30/(SUMIFS($G$3:$G$97,$A$3:$A$97,A30,$B$3:$B$97,0)/SUMIFS($F$3:$F$97,$A$3:$A$97,A30,$B$3:$B$97,0))),"")</f>
        <v/>
      </c>
      <c r="K30" s="9" t="n">
        <v>0.569</v>
      </c>
      <c r="L30" s="9" t="n">
        <v>0.769</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IFERROR((G31/F31)/(SUMIFS($G$3:$G$97,$A$3:$A$97,A31,$B$3:$B$97,0)/SUMIFS($F$3:$F$97,$A$3:$A$97,A31,$B$3:$B$97,0)),"")</f>
        <v/>
      </c>
      <c r="J31" s="14">
        <f>IFERROR(IF(B31=0,1,IF(C31&lt;=1,G31-SUMIFS($G$3:$G$97,$A$3:$A$97,A31,$B$3:$B$97,0),G31-G30)/E31/(SUMIFS($G$3:$G$97,$A$3:$A$97,A31,$B$3:$B$97,0)/SUMIFS($F$3:$F$97,$A$3:$A$97,A31,$B$3:$B$97,0))),"")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IFERROR((G32/F32)/(SUMIFS($G$3:$G$97,$A$3:$A$97,A32,$B$3:$B$97,0)/SUMIFS($F$3:$F$97,$A$3:$A$97,A32,$B$3:$B$97,0)),"")</f>
        <v/>
      </c>
      <c r="J32" s="14">
        <f>IFERROR(IF(B32=0,1,IF(C32&lt;=1,G32-SUMIFS($G$3:$G$97,$A$3:$A$97,A32,$B$3:$B$97,0),G32-G31)/E32/(SUMIFS($G$3:$G$97,$A$3:$A$97,A32,$B$3:$B$97,0)/SUMIFS($F$3:$F$97,$A$3:$A$97,A32,$B$3:$B$97,0))),"")</f>
        <v/>
      </c>
      <c r="K32" s="9" t="n">
        <v>0.78</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IFERROR((G33/F33)/(SUMIFS($G$3:$G$97,$A$3:$A$97,A33,$B$3:$B$97,0)/SUMIFS($F$3:$F$97,$A$3:$A$97,A33,$B$3:$B$97,0)),"")</f>
        <v/>
      </c>
      <c r="J33" s="14">
        <f>IFERROR(IF(B33=0,1,IF(C33&lt;=1,G33-SUMIFS($G$3:$G$97,$A$3:$A$97,A33,$B$3:$B$97,0),G33-G32)/E33/(SUMIFS($G$3:$G$97,$A$3:$A$97,A33,$B$3:$B$97,0)/SUMIFS($F$3:$F$97,$A$3:$A$97,A33,$B$3:$B$97,0))),"")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IFERROR((G34/F34)/(SUMIFS($G$3:$G$97,$A$3:$A$97,A34,$B$3:$B$97,0)/SUMIFS($F$3:$F$97,$A$3:$A$97,A34,$B$3:$B$97,0)),"")</f>
        <v/>
      </c>
      <c r="J34" s="14">
        <f>IFERROR(IF(B34=0,1,IF(C34&lt;=1,G34-SUMIFS($G$3:$G$97,$A$3:$A$97,A34,$B$3:$B$97,0),G34-G33)/E34/(SUMIFS($G$3:$G$97,$A$3:$A$97,A34,$B$3:$B$97,0)/SUMIFS($F$3:$F$97,$A$3:$A$97,A34,$B$3:$B$97,0))),"")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IFERROR((G35/F35)/(SUMIFS($G$3:$G$97,$A$3:$A$97,A35,$B$3:$B$97,0)/SUMIFS($F$3:$F$97,$A$3:$A$97,A35,$B$3:$B$97,0)),"")</f>
        <v/>
      </c>
      <c r="J35" s="14">
        <f>IFERROR(IF(B35=0,1,IF(C35&lt;=1,G35-SUMIFS($G$3:$G$97,$A$3:$A$97,A35,$B$3:$B$97,0),G35-G34)/E35/(SUMIFS($G$3:$G$97,$A$3:$A$97,A35,$B$3:$B$97,0)/SUMIFS($F$3:$F$97,$A$3:$A$97,A35,$B$3:$B$97,0))),"")</f>
        <v/>
      </c>
      <c r="K35" s="9" t="n">
        <v>0.389</v>
      </c>
      <c r="L35" s="9" t="n">
        <v>0.485</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IFERROR((G36/F36)/(SUMIFS($G$3:$G$97,$A$3:$A$97,A36,$B$3:$B$97,0)/SUMIFS($F$3:$F$97,$A$3:$A$97,A36,$B$3:$B$97,0)),"")</f>
        <v/>
      </c>
      <c r="J36" s="14">
        <f>IFERROR(IF(B36=0,1,IF(C36&lt;=1,G36-SUMIFS($G$3:$G$97,$A$3:$A$97,A36,$B$3:$B$97,0),G36-G35)/E36/(SUMIFS($G$3:$G$97,$A$3:$A$97,A36,$B$3:$B$97,0)/SUMIFS($F$3:$F$97,$A$3:$A$97,A36,$B$3:$B$97,0))),"")</f>
        <v/>
      </c>
      <c r="K36" s="9" t="n">
        <v>0.354</v>
      </c>
      <c r="L36" s="9" t="n">
        <v>0.706</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IFERROR((G37/F37)/(SUMIFS($G$3:$G$97,$A$3:$A$97,A37,$B$3:$B$97,0)/SUMIFS($F$3:$F$97,$A$3:$A$97,A37,$B$3:$B$97,0)),"")</f>
        <v/>
      </c>
      <c r="J37" s="14">
        <f>IFERROR(IF(B37=0,1,IF(C37&lt;=1,G37-SUMIFS($G$3:$G$97,$A$3:$A$97,A37,$B$3:$B$97,0),G37-G36)/E37/(SUMIFS($G$3:$G$97,$A$3:$A$97,A37,$B$3:$B$97,0)/SUMIFS($F$3:$F$97,$A$3:$A$97,A37,$B$3:$B$97,0))),"")</f>
        <v/>
      </c>
      <c r="K37" s="9" t="n">
        <v>0.326</v>
      </c>
      <c r="L37" s="9" t="n">
        <v>0.965</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IFERROR((G38/F38)/(SUMIFS($G$3:$G$97,$A$3:$A$97,A38,$B$3:$B$97,0)/SUMIFS($F$3:$F$97,$A$3:$A$97,A38,$B$3:$B$97,0)),"")</f>
        <v/>
      </c>
      <c r="J38" s="14">
        <f>IFERROR(IF(B38=0,1,IF(C38&lt;=1,G38-SUMIFS($G$3:$G$97,$A$3:$A$97,A38,$B$3:$B$97,0),G38-G37)/E38/(SUMIFS($G$3:$G$97,$A$3:$A$97,A38,$B$3:$B$97,0)/SUMIFS($F$3:$F$97,$A$3:$A$97,A38,$B$3:$B$97,0))),"")</f>
        <v/>
      </c>
      <c r="K38" s="9" t="n">
        <v>0.646</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IFERROR((G39/F39)/(SUMIFS($G$3:$G$97,$A$3:$A$97,A39,$B$3:$B$97,0)/SUMIFS($F$3:$F$97,$A$3:$A$97,A39,$B$3:$B$97,0)),"")</f>
        <v/>
      </c>
      <c r="J39" s="14">
        <f>IFERROR(IF(B39=0,1,IF(C39&lt;=1,G39-SUMIFS($G$3:$G$97,$A$3:$A$97,A39,$B$3:$B$97,0),G39-G38)/E39/(SUMIFS($G$3:$G$97,$A$3:$A$97,A39,$B$3:$B$97,0)/SUMIFS($F$3:$F$97,$A$3:$A$97,A39,$B$3:$B$97,0))),"")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IFERROR((G40/F40)/(SUMIFS($G$3:$G$97,$A$3:$A$97,A40,$B$3:$B$97,0)/SUMIFS($F$3:$F$97,$A$3:$A$97,A40,$B$3:$B$97,0)),"")</f>
        <v/>
      </c>
      <c r="J40" s="14">
        <f>IFERROR(IF(B40=0,1,IF(C40&lt;=1,G40-SUMIFS($G$3:$G$97,$A$3:$A$97,A40,$B$3:$B$97,0),G40-G39)/E40/(SUMIFS($G$3:$G$97,$A$3:$A$97,A40,$B$3:$B$97,0)/SUMIFS($F$3:$F$97,$A$3:$A$97,A40,$B$3:$B$97,0))),"")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2.26</v>
      </c>
      <c r="H41" s="14">
        <f>G41/F41*100</f>
        <v/>
      </c>
      <c r="I41" s="14">
        <f>IFERROR((G41/F41)/(SUMIFS($G$3:$G$97,$A$3:$A$97,A41,$B$3:$B$97,0)/SUMIFS($F$3:$F$97,$A$3:$A$97,A41,$B$3:$B$97,0)),"")</f>
        <v/>
      </c>
      <c r="J41" s="14">
        <f>IFERROR(IF(B41=0,1,IF(C41&lt;=1,G41-SUMIFS($G$3:$G$97,$A$3:$A$97,A41,$B$3:$B$97,0),G41-G40)/E41/(SUMIFS($G$3:$G$97,$A$3:$A$97,A41,$B$3:$B$97,0)/SUMIFS($F$3:$F$97,$A$3:$A$97,A41,$B$3:$B$97,0))),"")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喷头加长</t>
        </is>
      </c>
      <c r="E42" s="9" t="n">
        <v>60</v>
      </c>
      <c r="F42" s="9" t="n">
        <v>180</v>
      </c>
      <c r="G42" s="9" t="n">
        <v>2.73</v>
      </c>
      <c r="H42" s="14">
        <f>G42/F42*100</f>
        <v/>
      </c>
      <c r="I42" s="14">
        <f>IFERROR((G42/F42)/(SUMIFS($G$3:$G$97,$A$3:$A$97,A42,$B$3:$B$97,0)/SUMIFS($F$3:$F$97,$A$3:$A$97,A42,$B$3:$B$97,0)),"")</f>
        <v/>
      </c>
      <c r="J42" s="14">
        <f>IFERROR(IF(B42=0,1,IF(C42&lt;=1,G42-SUMIFS($G$3:$G$97,$A$3:$A$97,A42,$B$3:$B$97,0),G42-G41)/E42/(SUMIFS($G$3:$G$97,$A$3:$A$97,A42,$B$3:$B$97,0)/SUMIFS($F$3:$F$97,$A$3:$A$97,A42,$B$3:$B$97,0))),"")</f>
        <v/>
      </c>
      <c r="K42" s="9" t="n">
        <v>0.356</v>
      </c>
      <c r="L42" s="9" t="n">
        <v>0.357</v>
      </c>
      <c r="M42" s="14">
        <f>IF(OR(K42="",L42="",L42=0),"",K42/L42)</f>
        <v/>
      </c>
      <c r="N42" s="9" t="inlineStr"/>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2.73</v>
      </c>
      <c r="H43" s="14">
        <f>G43/F43*100</f>
        <v/>
      </c>
      <c r="I43" s="14">
        <f>IFERROR((G43/F43)/(SUMIFS($G$3:$G$97,$A$3:$A$97,A43,$B$3:$B$97,0)/SUMIFS($F$3:$F$97,$A$3:$A$97,A43,$B$3:$B$97,0)),"")</f>
        <v/>
      </c>
      <c r="J43" s="14">
        <f>IFERROR(IF(B43=0,1,IF(C43&lt;=1,G43-SUMIFS($G$3:$G$97,$A$3:$A$97,A43,$B$3:$B$97,0),G43-G42)/E43/(SUMIFS($G$3:$G$97,$A$3:$A$97,A43,$B$3:$B$97,0)/SUMIFS($F$3:$F$97,$A$3:$A$97,A43,$B$3:$B$97,0))),"")</f>
        <v/>
      </c>
      <c r="K43" s="9" t="n">
        <v>0.358</v>
      </c>
      <c r="L43" s="9" t="n">
        <v>0.508</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4.54</v>
      </c>
      <c r="H44" s="14">
        <f>G44/F44*100</f>
        <v/>
      </c>
      <c r="I44" s="14">
        <f>IFERROR((G44/F44)/(SUMIFS($G$3:$G$97,$A$3:$A$97,A44,$B$3:$B$97,0)/SUMIFS($F$3:$F$97,$A$3:$A$97,A44,$B$3:$B$97,0)),"")</f>
        <v/>
      </c>
      <c r="J44" s="14">
        <f>IFERROR(IF(B44=0,1,IF(C44&lt;=1,G44-SUMIFS($G$3:$G$97,$A$3:$A$97,A44,$B$3:$B$97,0),G44-G43)/E44/(SUMIFS($G$3:$G$97,$A$3:$A$97,A44,$B$3:$B$97,0)/SUMIFS($F$3:$F$97,$A$3:$A$97,A44,$B$3:$B$97,0))),"")</f>
        <v/>
      </c>
      <c r="K44" s="9" t="n">
        <v>0.615</v>
      </c>
      <c r="L44" s="9" t="n">
        <v>0.825</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6.49</v>
      </c>
      <c r="H45" s="14">
        <f>G45/F45*100</f>
        <v/>
      </c>
      <c r="I45" s="14">
        <f>IFERROR((G45/F45)/(SUMIFS($G$3:$G$97,$A$3:$A$97,A45,$B$3:$B$97,0)/SUMIFS($F$3:$F$97,$A$3:$A$97,A45,$B$3:$B$97,0)),"")</f>
        <v/>
      </c>
      <c r="J45" s="14">
        <f>IFERROR(IF(B45=0,1,IF(C45&lt;=1,G45-SUMIFS($G$3:$G$97,$A$3:$A$97,A45,$B$3:$B$97,0),G45-G44)/E45/(SUMIFS($G$3:$G$97,$A$3:$A$97,A45,$B$3:$B$97,0)/SUMIFS($F$3:$F$97,$A$3:$A$97,A45,$B$3:$B$97,0))),"")</f>
        <v/>
      </c>
      <c r="K45" s="9" t="n">
        <v>0.8080000000000001</v>
      </c>
      <c r="L45" s="9" t="n">
        <v>0.965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8.35</v>
      </c>
      <c r="H46" s="14">
        <f>G46/F46*100</f>
        <v/>
      </c>
      <c r="I46" s="14">
        <f>IFERROR((G46/F46)/(SUMIFS($G$3:$G$97,$A$3:$A$97,A46,$B$3:$B$97,0)/SUMIFS($F$3:$F$97,$A$3:$A$97,A46,$B$3:$B$97,0)),"")</f>
        <v/>
      </c>
      <c r="J46" s="14">
        <f>IFERROR(IF(B46=0,1,IF(C46&lt;=1,G46-SUMIFS($G$3:$G$97,$A$3:$A$97,A46,$B$3:$B$97,0),G46-G45)/E46/(SUMIFS($G$3:$G$97,$A$3:$A$97,A46,$B$3:$B$97,0)/SUMIFS($F$3:$F$97,$A$3:$A$97,A46,$B$3:$B$97,0))),"")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暴雨洒水车</t>
        </is>
      </c>
      <c r="E47" s="9" t="n">
        <v>3200</v>
      </c>
      <c r="F47" s="9" t="n">
        <v>5640</v>
      </c>
      <c r="G47" s="9" t="n">
        <v>38.79</v>
      </c>
      <c r="H47" s="14">
        <f>G47/F47*100</f>
        <v/>
      </c>
      <c r="I47" s="14">
        <f>IFERROR((G47/F47)/(SUMIFS($G$3:$G$97,$A$3:$A$97,A47,$B$3:$B$97,0)/SUMIFS($F$3:$F$97,$A$3:$A$97,A47,$B$3:$B$97,0)),"")</f>
        <v/>
      </c>
      <c r="J47" s="14">
        <f>IFERROR(IF(B47=0,1,IF(C47&lt;=1,G47-SUMIFS($G$3:$G$97,$A$3:$A$97,A47,$B$3:$B$97,0),G47-G46)/E47/(SUMIFS($G$3:$G$97,$A$3:$A$97,A47,$B$3:$B$97,0)/SUMIFS($F$3:$F$97,$A$3:$A$97,A47,$B$3:$B$97,0))),"")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2.26</v>
      </c>
      <c r="H48" s="14">
        <f>G48/F48*100</f>
        <v/>
      </c>
      <c r="I48" s="14">
        <f>IFERROR((G48/F48)/(SUMIFS($G$3:$G$97,$A$3:$A$97,A48,$B$3:$B$97,0)/SUMIFS($F$3:$F$97,$A$3:$A$97,A48,$B$3:$B$97,0)),"")</f>
        <v/>
      </c>
      <c r="J48" s="14">
        <f>IFERROR(IF(B48=0,1,IF(C48&lt;=1,G48-SUMIFS($G$3:$G$97,$A$3:$A$97,A48,$B$3:$B$97,0),G48-G47)/E48/(SUMIFS($G$3:$G$97,$A$3:$A$97,A48,$B$3:$B$97,0)/SUMIFS($F$3:$F$97,$A$3:$A$97,A48,$B$3:$B$97,0))),"")</f>
        <v/>
      </c>
      <c r="K48" s="9" t="n">
        <v>0.257</v>
      </c>
      <c r="L48" s="9" t="n">
        <v>0.327</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2.26</v>
      </c>
      <c r="H49" s="14">
        <f>G49/F49*100</f>
        <v/>
      </c>
      <c r="I49" s="14">
        <f>IFERROR((G49/F49)/(SUMIFS($G$3:$G$97,$A$3:$A$97,A49,$B$3:$B$97,0)/SUMIFS($F$3:$F$97,$A$3:$A$97,A49,$B$3:$B$97,0)),"")</f>
        <v/>
      </c>
      <c r="J49" s="14">
        <f>IFERROR(IF(B49=0,1,IF(C49&lt;=1,G49-SUMIFS($G$3:$G$97,$A$3:$A$97,A49,$B$3:$B$97,0),G49-G48)/E49/(SUMIFS($G$3:$G$97,$A$3:$A$97,A49,$B$3:$B$97,0)/SUMIFS($F$3:$F$97,$A$3:$A$97,A49,$B$3:$B$97,0))),"")</f>
        <v/>
      </c>
      <c r="K49" s="9" t="n">
        <v>0.351</v>
      </c>
      <c r="L49" s="9" t="n">
        <v>0.485</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2.26</v>
      </c>
      <c r="H50" s="14">
        <f>G50/F50*100</f>
        <v/>
      </c>
      <c r="I50" s="14">
        <f>IFERROR((G50/F50)/(SUMIFS($G$3:$G$97,$A$3:$A$97,A50,$B$3:$B$97,0)/SUMIFS($F$3:$F$97,$A$3:$A$97,A50,$B$3:$B$97,0)),"")</f>
        <v/>
      </c>
      <c r="J50" s="14">
        <f>IFERROR(IF(B50=0,1,IF(C50&lt;=1,G50-SUMIFS($G$3:$G$97,$A$3:$A$97,A50,$B$3:$B$97,0),G50-G49)/E50/(SUMIFS($G$3:$G$97,$A$3:$A$97,A50,$B$3:$B$97,0)/SUMIFS($F$3:$F$97,$A$3:$A$97,A50,$B$3:$B$97,0))),"")</f>
        <v/>
      </c>
      <c r="K50" s="9" t="n">
        <v>0.695</v>
      </c>
      <c r="L50" s="9" t="n">
        <v>0.826</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2.26</v>
      </c>
      <c r="H51" s="14">
        <f>G51/F51*100</f>
        <v/>
      </c>
      <c r="I51" s="14">
        <f>IFERROR((G51/F51)/(SUMIFS($G$3:$G$97,$A$3:$A$97,A51,$B$3:$B$97,0)/SUMIFS($F$3:$F$97,$A$3:$A$97,A51,$B$3:$B$97,0)),"")</f>
        <v/>
      </c>
      <c r="J51" s="14">
        <f>IFERROR(IF(B51=0,1,IF(C51&lt;=1,G51-SUMIFS($G$3:$G$97,$A$3:$A$97,A51,$B$3:$B$97,0),G51-G50)/E51/(SUMIFS($G$3:$G$97,$A$3:$A$97,A51,$B$3:$B$97,0)/SUMIFS($F$3:$F$97,$A$3:$A$97,A51,$B$3:$B$97,0))),"")</f>
        <v/>
      </c>
      <c r="K51" s="9" t="n">
        <v>0.619</v>
      </c>
      <c r="L51" s="9" t="n">
        <v>0.978</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2.26</v>
      </c>
      <c r="H52" s="14">
        <f>G52/F52*100</f>
        <v/>
      </c>
      <c r="I52" s="14">
        <f>IFERROR((G52/F52)/(SUMIFS($G$3:$G$97,$A$3:$A$97,A52,$B$3:$B$97,0)/SUMIFS($F$3:$F$97,$A$3:$A$97,A52,$B$3:$B$97,0)),"")</f>
        <v/>
      </c>
      <c r="J52" s="14">
        <f>IFERROR(IF(B52=0,1,IF(C52&lt;=1,G52-SUMIFS($G$3:$G$97,$A$3:$A$97,A52,$B$3:$B$97,0),G52-G51)/E52/(SUMIFS($G$3:$G$97,$A$3:$A$97,A52,$B$3:$B$97,0)/SUMIFS($F$3:$F$97,$A$3:$A$97,A52,$B$3:$B$97,0))),"")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11.28</v>
      </c>
      <c r="H53" s="14">
        <f>G53/F53*100</f>
        <v/>
      </c>
      <c r="I53" s="14">
        <f>IFERROR((G53/F53)/(SUMIFS($G$3:$G$97,$A$3:$A$97,A53,$B$3:$B$97,0)/SUMIFS($F$3:$F$97,$A$3:$A$97,A53,$B$3:$B$97,0)),"")</f>
        <v/>
      </c>
      <c r="J53" s="14">
        <f>IFERROR(IF(B53=0,1,IF(C53&lt;=1,G53-SUMIFS($G$3:$G$97,$A$3:$A$97,A53,$B$3:$B$97,0),G53-G52)/E53/(SUMIFS($G$3:$G$97,$A$3:$A$97,A53,$B$3:$B$97,0)/SUMIFS($F$3:$F$97,$A$3:$A$97,A53,$B$3:$B$97,0))),"")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2.88</v>
      </c>
      <c r="H54" s="14">
        <f>G54/F54*100</f>
        <v/>
      </c>
      <c r="I54" s="14">
        <f>IFERROR((G54/F54)/(SUMIFS($G$3:$G$97,$A$3:$A$97,A54,$B$3:$B$97,0)/SUMIFS($F$3:$F$97,$A$3:$A$97,A54,$B$3:$B$97,0)),"")</f>
        <v/>
      </c>
      <c r="J54" s="14">
        <f>IFERROR(IF(B54=0,1,IF(C54&lt;=1,G54-SUMIFS($G$3:$G$97,$A$3:$A$97,A54,$B$3:$B$97,0),G54-G53)/E54/(SUMIFS($G$3:$G$97,$A$3:$A$97,A54,$B$3:$B$97,0)/SUMIFS($F$3:$F$97,$A$3:$A$97,A54,$B$3:$B$97,0))),"")</f>
        <v/>
      </c>
      <c r="K54" s="9" t="n">
        <v>0.377</v>
      </c>
      <c r="L54" s="9" t="n">
        <v>0.357</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5.76</v>
      </c>
      <c r="H55" s="14">
        <f>G55/F55*100</f>
        <v/>
      </c>
      <c r="I55" s="14">
        <f>IFERROR((G55/F55)/(SUMIFS($G$3:$G$97,$A$3:$A$97,A55,$B$3:$B$97,0)/SUMIFS($F$3:$F$97,$A$3:$A$97,A55,$B$3:$B$97,0)),"")</f>
        <v/>
      </c>
      <c r="J55" s="14">
        <f>IFERROR(IF(B55=0,1,IF(C55&lt;=1,G55-SUMIFS($G$3:$G$97,$A$3:$A$97,A55,$B$3:$B$97,0),G55-G54)/E55/(SUMIFS($G$3:$G$97,$A$3:$A$97,A55,$B$3:$B$97,0)/SUMIFS($F$3:$F$97,$A$3:$A$97,A55,$B$3:$B$97,0))),"")</f>
        <v/>
      </c>
      <c r="K55" s="9" t="n">
        <v>0.765</v>
      </c>
      <c r="L55" s="9" t="n">
        <v>0.556</v>
      </c>
      <c r="M55" s="14">
        <f>IF(OR(K55="",L55="",L55=0),"",K55/L55)</f>
        <v/>
      </c>
      <c r="N55" s="9" t="inlineStr"/>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5.76</v>
      </c>
      <c r="H56" s="14">
        <f>G56/F56*100</f>
        <v/>
      </c>
      <c r="I56" s="14">
        <f>IFERROR((G56/F56)/(SUMIFS($G$3:$G$97,$A$3:$A$97,A56,$B$3:$B$97,0)/SUMIFS($F$3:$F$97,$A$3:$A$97,A56,$B$3:$B$97,0)),"")</f>
        <v/>
      </c>
      <c r="J56" s="14">
        <f>IFERROR(IF(B56=0,1,IF(C56&lt;=1,G56-SUMIFS($G$3:$G$97,$A$3:$A$97,A56,$B$3:$B$97,0),G56-G55)/E56/(SUMIFS($G$3:$G$97,$A$3:$A$97,A56,$B$3:$B$97,0)/SUMIFS($F$3:$F$97,$A$3:$A$97,A56,$B$3:$B$97,0))),"")</f>
        <v/>
      </c>
      <c r="K56" s="9" t="n">
        <v>0.796</v>
      </c>
      <c r="L56" s="9" t="n">
        <v>0.837</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11.94</v>
      </c>
      <c r="H57" s="14">
        <f>G57/F57*100</f>
        <v/>
      </c>
      <c r="I57" s="14">
        <f>IFERROR((G57/F57)/(SUMIFS($G$3:$G$97,$A$3:$A$97,A57,$B$3:$B$97,0)/SUMIFS($F$3:$F$97,$A$3:$A$97,A57,$B$3:$B$97,0)),"")</f>
        <v/>
      </c>
      <c r="J57" s="14">
        <f>IFERROR(IF(B57=0,1,IF(C57&lt;=1,G57-SUMIFS($G$3:$G$97,$A$3:$A$97,A57,$B$3:$B$97,0),G57-G56)/E57/(SUMIFS($G$3:$G$97,$A$3:$A$97,A57,$B$3:$B$97,0)/SUMIFS($F$3:$F$97,$A$3:$A$97,A57,$B$3:$B$97,0))),"")</f>
        <v/>
      </c>
      <c r="K57" s="9" t="n">
        <v>0.604</v>
      </c>
      <c r="L57" s="9" t="n">
        <v>0.965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23.89</v>
      </c>
      <c r="H58" s="14">
        <f>G58/F58*100</f>
        <v/>
      </c>
      <c r="I58" s="14">
        <f>IFERROR((G58/F58)/(SUMIFS($G$3:$G$97,$A$3:$A$97,A58,$B$3:$B$97,0)/SUMIFS($F$3:$F$97,$A$3:$A$97,A58,$B$3:$B$97,0)),"")</f>
        <v/>
      </c>
      <c r="J58" s="14">
        <f>IFERROR(IF(B58=0,1,IF(C58&lt;=1,G58-SUMIFS($G$3:$G$97,$A$3:$A$97,A58,$B$3:$B$97,0),G58-G57)/E58/(SUMIFS($G$3:$G$97,$A$3:$A$97,A58,$B$3:$B$97,0)/SUMIFS($F$3:$F$97,$A$3:$A$97,A58,$B$3:$B$97,0))),"")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71.66</v>
      </c>
      <c r="H59" s="14">
        <f>G59/F59*100</f>
        <v/>
      </c>
      <c r="I59" s="14">
        <f>IFERROR((G59/F59)/(SUMIFS($G$3:$G$97,$A$3:$A$97,A59,$B$3:$B$97,0)/SUMIFS($F$3:$F$97,$A$3:$A$97,A59,$B$3:$B$97,0)),"")</f>
        <v/>
      </c>
      <c r="J59" s="14">
        <f>IFERROR(IF(B59=0,1,IF(C59&lt;=1,G59-SUMIFS($G$3:$G$97,$A$3:$A$97,A59,$B$3:$B$97,0),G59-G58)/E59/(SUMIFS($G$3:$G$97,$A$3:$A$97,A59,$B$3:$B$97,0)/SUMIFS($F$3:$F$97,$A$3:$A$97,A59,$B$3:$B$97,0))),"")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sniper</t>
        </is>
      </c>
      <c r="B60" s="9" t="n">
        <v>0</v>
      </c>
      <c r="C60" s="9" t="n">
        <v>0</v>
      </c>
      <c r="D60" s="9" t="inlineStr">
        <is>
          <t>基础</t>
        </is>
      </c>
      <c r="E60" s="9" t="n">
        <v>180</v>
      </c>
      <c r="F60" s="9" t="n">
        <v>180</v>
      </c>
      <c r="G60" s="9" t="n">
        <v>4.87</v>
      </c>
      <c r="H60" s="14">
        <f>G60/F60*100</f>
        <v/>
      </c>
      <c r="I60" s="14">
        <f>IFERROR((G60/F60)/(SUMIFS($G$3:$G$97,$A$3:$A$97,A60,$B$3:$B$97,0)/SUMIFS($F$3:$F$97,$A$3:$A$97,A60,$B$3:$B$97,0)),"")</f>
        <v/>
      </c>
      <c r="J60" s="14">
        <f>IFERROR(IF(B60=0,1,IF(C60&lt;=1,G60-SUMIFS($G$3:$G$97,$A$3:$A$97,A60,$B$3:$B$97,0),G60-G59)/E60/(SUMIFS($G$3:$G$97,$A$3:$A$97,A60,$B$3:$B$97,0)/SUMIFS($F$3:$F$97,$A$3:$A$97,A60,$B$3:$B$97,0))),"")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sniper</t>
        </is>
      </c>
      <c r="B61" s="9" t="n">
        <v>1</v>
      </c>
      <c r="C61" s="9" t="n">
        <v>1</v>
      </c>
      <c r="D61" s="9" t="inlineStr">
        <is>
          <t>快速飞行</t>
        </is>
      </c>
      <c r="E61" s="9" t="n">
        <v>60</v>
      </c>
      <c r="F61" s="9" t="n">
        <v>240</v>
      </c>
      <c r="G61" s="9" t="n">
        <v>5.73</v>
      </c>
      <c r="H61" s="14">
        <f>G61/F61*100</f>
        <v/>
      </c>
      <c r="I61" s="14">
        <f>IFERROR((G61/F61)/(SUMIFS($G$3:$G$97,$A$3:$A$97,A61,$B$3:$B$97,0)/SUMIFS($F$3:$F$97,$A$3:$A$97,A61,$B$3:$B$97,0)),"")</f>
        <v/>
      </c>
      <c r="J61" s="14">
        <f>IFERROR(IF(B61=0,1,IF(C61&lt;=1,G61-SUMIFS($G$3:$G$97,$A$3:$A$97,A61,$B$3:$B$97,0),G61-G60)/E61/(SUMIFS($G$3:$G$97,$A$3:$A$97,A61,$B$3:$B$97,0)/SUMIFS($F$3:$F$97,$A$3:$A$97,A61,$B$3:$B$97,0))),"")</f>
        <v/>
      </c>
      <c r="K61" s="9" t="n">
        <v>0.253</v>
      </c>
      <c r="L61" s="9" t="n">
        <v>0.292</v>
      </c>
      <c r="M61" s="14">
        <f>IF(OR(K61="",L61="",L61=0),"",K61/L61)</f>
        <v/>
      </c>
      <c r="N61" s="9" t="inlineStr"/>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sniper</t>
        </is>
      </c>
      <c r="B62" s="9" t="n">
        <v>1</v>
      </c>
      <c r="C62" s="9" t="n">
        <v>2</v>
      </c>
      <c r="D62" s="9" t="inlineStr">
        <is>
          <t>落点修正</t>
        </is>
      </c>
      <c r="E62" s="9" t="n">
        <v>100</v>
      </c>
      <c r="F62" s="9" t="n">
        <v>340</v>
      </c>
      <c r="G62" s="9" t="n">
        <v>5.73</v>
      </c>
      <c r="H62" s="14">
        <f>G62/F62*100</f>
        <v/>
      </c>
      <c r="I62" s="14">
        <f>IFERROR((G62/F62)/(SUMIFS($G$3:$G$97,$A$3:$A$97,A62,$B$3:$B$97,0)/SUMIFS($F$3:$F$97,$A$3:$A$97,A62,$B$3:$B$97,0)),"")</f>
        <v/>
      </c>
      <c r="J62" s="14">
        <f>IFERROR(IF(B62=0,1,IF(C62&lt;=1,G62-SUMIFS($G$3:$G$97,$A$3:$A$97,A62,$B$3:$B$97,0),G62-G61)/E62/(SUMIFS($G$3:$G$97,$A$3:$A$97,A62,$B$3:$B$97,0)/SUMIFS($F$3:$F$97,$A$3:$A$97,A62,$B$3:$B$97,0))),"")</f>
        <v/>
      </c>
      <c r="K62" s="9" t="n">
        <v>0.297</v>
      </c>
      <c r="L62" s="9" t="n">
        <v>0.426</v>
      </c>
      <c r="M62" s="14">
        <f>IF(OR(K62="",L62="",L62=0),"",K62/L62)</f>
        <v/>
      </c>
      <c r="N62" s="9" t="inlineStr">
        <is>
          <t>必中</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sniper</t>
        </is>
      </c>
      <c r="B63" s="9" t="n">
        <v>1</v>
      </c>
      <c r="C63" s="9" t="n">
        <v>3</v>
      </c>
      <c r="D63" s="9" t="inlineStr">
        <is>
          <t>重型鞋盒</t>
        </is>
      </c>
      <c r="E63" s="9" t="n">
        <v>260</v>
      </c>
      <c r="F63" s="9" t="n">
        <v>600</v>
      </c>
      <c r="G63" s="9" t="n">
        <v>13.36</v>
      </c>
      <c r="H63" s="14">
        <f>G63/F63*100</f>
        <v/>
      </c>
      <c r="I63" s="14">
        <f>IFERROR((G63/F63)/(SUMIFS($G$3:$G$97,$A$3:$A$97,A63,$B$3:$B$97,0)/SUMIFS($F$3:$F$97,$A$3:$A$97,A63,$B$3:$B$97,0)),"")</f>
        <v/>
      </c>
      <c r="J63" s="14">
        <f>IFERROR(IF(B63=0,1,IF(C63&lt;=1,G63-SUMIFS($G$3:$G$97,$A$3:$A$97,A63,$B$3:$B$97,0),G63-G62)/E63/(SUMIFS($G$3:$G$97,$A$3:$A$97,A63,$B$3:$B$97,0)/SUMIFS($F$3:$F$97,$A$3:$A$97,A63,$B$3:$B$97,0))),"")</f>
        <v/>
      </c>
      <c r="K63" s="9" t="n">
        <v>0.531</v>
      </c>
      <c r="L63" s="9" t="n">
        <v>0.672</v>
      </c>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sniper</t>
        </is>
      </c>
      <c r="B64" s="9" t="n">
        <v>1</v>
      </c>
      <c r="C64" s="9" t="n">
        <v>4</v>
      </c>
      <c r="D64" s="9" t="inlineStr">
        <is>
          <t>动态追踪</t>
        </is>
      </c>
      <c r="E64" s="9" t="n">
        <v>700</v>
      </c>
      <c r="F64" s="9" t="n">
        <v>1300</v>
      </c>
      <c r="G64" s="9" t="n">
        <v>19.09</v>
      </c>
      <c r="H64" s="14">
        <f>G64/F64*100</f>
        <v/>
      </c>
      <c r="I64" s="14">
        <f>IFERROR((G64/F64)/(SUMIFS($G$3:$G$97,$A$3:$A$97,A64,$B$3:$B$97,0)/SUMIFS($F$3:$F$97,$A$3:$A$97,A64,$B$3:$B$97,0)),"")</f>
        <v/>
      </c>
      <c r="J64" s="14">
        <f>IFERROR(IF(B64=0,1,IF(C64&lt;=1,G64-SUMIFS($G$3:$G$97,$A$3:$A$97,A64,$B$3:$B$97,0),G64-G63)/E64/(SUMIFS($G$3:$G$97,$A$3:$A$97,A64,$B$3:$B$97,0)/SUMIFS($F$3:$F$97,$A$3:$A$97,A64,$B$3:$B$97,0))),"")</f>
        <v/>
      </c>
      <c r="K64" s="9" t="n">
        <v>0.609</v>
      </c>
      <c r="L64" s="9" t="n">
        <v>0.968</v>
      </c>
      <c r="M64" s="14">
        <f>IF(OR(K64="",L64="",L64=0),"",K64/L64)</f>
        <v/>
      </c>
      <c r="N64" s="9" t="inlineStr">
        <is>
          <t>投递区</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sniper</t>
        </is>
      </c>
      <c r="B65" s="9" t="n">
        <v>1</v>
      </c>
      <c r="C65" s="9" t="n">
        <v>5</v>
      </c>
      <c r="D65" s="9" t="inlineStr">
        <is>
          <t>连续投箱</t>
        </is>
      </c>
      <c r="E65" s="9" t="n">
        <v>1500</v>
      </c>
      <c r="F65" s="9" t="n">
        <v>2800</v>
      </c>
      <c r="G65" s="9" t="n">
        <v>38.18</v>
      </c>
      <c r="H65" s="14">
        <f>G65/F65*100</f>
        <v/>
      </c>
      <c r="I65" s="14">
        <f>IFERROR((G65/F65)/(SUMIFS($G$3:$G$97,$A$3:$A$97,A65,$B$3:$B$97,0)/SUMIFS($F$3:$F$97,$A$3:$A$97,A65,$B$3:$B$97,0)),"")</f>
        <v/>
      </c>
      <c r="J65" s="14">
        <f>IFERROR(IF(B65=0,1,IF(C65&lt;=1,G65-SUMIFS($G$3:$G$97,$A$3:$A$97,A65,$B$3:$B$97,0),G65-G64)/E65/(SUMIFS($G$3:$G$97,$A$3:$A$97,A65,$B$3:$B$97,0)/SUMIFS($F$3:$F$97,$A$3:$A$97,A65,$B$3:$B$97,0))),"")</f>
        <v/>
      </c>
      <c r="K65" s="9" t="n"/>
      <c r="L65" s="9" t="n"/>
      <c r="M65" s="14">
        <f>IF(OR(K65="",L65="",L65=0),"",K65/L65)</f>
        <v/>
      </c>
      <c r="N65" s="9" t="inlineStr"/>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sniper</t>
        </is>
      </c>
      <c r="B66" s="9" t="n">
        <v>1</v>
      </c>
      <c r="C66" s="9" t="n">
        <v>6</v>
      </c>
      <c r="D66" s="9" t="inlineStr">
        <is>
          <t>旗舰重箱机</t>
        </is>
      </c>
      <c r="E66" s="9" t="n">
        <v>3800</v>
      </c>
      <c r="F66" s="9" t="n">
        <v>6600</v>
      </c>
      <c r="G66" s="9" t="n">
        <v>257.67</v>
      </c>
      <c r="H66" s="14">
        <f>G66/F66*100</f>
        <v/>
      </c>
      <c r="I66" s="14">
        <f>IFERROR((G66/F66)/(SUMIFS($G$3:$G$97,$A$3:$A$97,A66,$B$3:$B$97,0)/SUMIFS($F$3:$F$97,$A$3:$A$97,A66,$B$3:$B$97,0)),"")</f>
        <v/>
      </c>
      <c r="J66" s="14">
        <f>IFERROR(IF(B66=0,1,IF(C66&lt;=1,G66-SUMIFS($G$3:$G$97,$A$3:$A$97,A66,$B$3:$B$97,0),G66-G65)/E66/(SUMIFS($G$3:$G$97,$A$3:$A$97,A66,$B$3:$B$97,0)/SUMIFS($F$3:$F$97,$A$3:$A$97,A66,$B$3:$B$97,0))),"")</f>
        <v/>
      </c>
      <c r="K66" s="9" t="n"/>
      <c r="L66" s="9" t="n"/>
      <c r="M66" s="14">
        <f>IF(OR(K66="",L66="",L66=0),"",K66/L66)</f>
        <v/>
      </c>
      <c r="N66" s="9" t="inlineStr"/>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sniper</t>
        </is>
      </c>
      <c r="B67" s="9" t="n">
        <v>2</v>
      </c>
      <c r="C67" s="9" t="n">
        <v>1</v>
      </c>
      <c r="D67" s="9" t="inlineStr">
        <is>
          <t>多装一箱</t>
        </is>
      </c>
      <c r="E67" s="9" t="n">
        <v>90</v>
      </c>
      <c r="F67" s="9" t="n">
        <v>270</v>
      </c>
      <c r="G67" s="9" t="n">
        <v>9.74</v>
      </c>
      <c r="H67" s="14">
        <f>G67/F67*100</f>
        <v/>
      </c>
      <c r="I67" s="14">
        <f>IFERROR((G67/F67)/(SUMIFS($G$3:$G$97,$A$3:$A$97,A67,$B$3:$B$97,0)/SUMIFS($F$3:$F$97,$A$3:$A$97,A67,$B$3:$B$97,0)),"")</f>
        <v/>
      </c>
      <c r="J67" s="14">
        <f>IFERROR(IF(B67=0,1,IF(C67&lt;=1,G67-SUMIFS($G$3:$G$97,$A$3:$A$97,A67,$B$3:$B$97,0),G67-G66)/E67/(SUMIFS($G$3:$G$97,$A$3:$A$97,A67,$B$3:$B$97,0)/SUMIFS($F$3:$F$97,$A$3:$A$97,A67,$B$3:$B$97,0))),"")</f>
        <v/>
      </c>
      <c r="K67" s="9" t="n">
        <v>0.408</v>
      </c>
      <c r="L67" s="9" t="n">
        <v>0.332</v>
      </c>
      <c r="M67" s="14">
        <f>IF(OR(K67="",L67="",L67=0),"",K67/L67)</f>
        <v/>
      </c>
      <c r="N67" s="9" t="inlineStr"/>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sniper</t>
        </is>
      </c>
      <c r="B68" s="9" t="n">
        <v>2</v>
      </c>
      <c r="C68" s="9" t="n">
        <v>2</v>
      </c>
      <c r="D68" s="9" t="inlineStr">
        <is>
          <t>散布投递</t>
        </is>
      </c>
      <c r="E68" s="9" t="n">
        <v>150</v>
      </c>
      <c r="F68" s="9" t="n">
        <v>420</v>
      </c>
      <c r="G68" s="9" t="n">
        <v>9.74</v>
      </c>
      <c r="H68" s="14">
        <f>G68/F68*100</f>
        <v/>
      </c>
      <c r="I68" s="14">
        <f>IFERROR((G68/F68)/(SUMIFS($G$3:$G$97,$A$3:$A$97,A68,$B$3:$B$97,0)/SUMIFS($F$3:$F$97,$A$3:$A$97,A68,$B$3:$B$97,0)),"")</f>
        <v/>
      </c>
      <c r="J68" s="14">
        <f>IFERROR(IF(B68=0,1,IF(C68&lt;=1,G68-SUMIFS($G$3:$G$97,$A$3:$A$97,A68,$B$3:$B$97,0),G68-G67)/E68/(SUMIFS($G$3:$G$97,$A$3:$A$97,A68,$B$3:$B$97,0)/SUMIFS($F$3:$F$97,$A$3:$A$97,A68,$B$3:$B$97,0))),"")</f>
        <v/>
      </c>
      <c r="K68" s="9" t="n">
        <v>0.381</v>
      </c>
      <c r="L68" s="9" t="n">
        <v>0.508</v>
      </c>
      <c r="M68" s="14">
        <f>IF(OR(K68="",L68="",L68=0),"",K68/L68)</f>
        <v/>
      </c>
      <c r="N68" s="9" t="inlineStr">
        <is>
          <t>投递区</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sniper</t>
        </is>
      </c>
      <c r="B69" s="9" t="n">
        <v>2</v>
      </c>
      <c r="C69" s="9" t="n">
        <v>3</v>
      </c>
      <c r="D69" s="9" t="inlineStr">
        <is>
          <t>沿路投箱</t>
        </is>
      </c>
      <c r="E69" s="9" t="n">
        <v>260</v>
      </c>
      <c r="F69" s="9" t="n">
        <v>680</v>
      </c>
      <c r="G69" s="9" t="n">
        <v>14.6</v>
      </c>
      <c r="H69" s="14">
        <f>G69/F69*100</f>
        <v/>
      </c>
      <c r="I69" s="14">
        <f>IFERROR((G69/F69)/(SUMIFS($G$3:$G$97,$A$3:$A$97,A69,$B$3:$B$97,0)/SUMIFS($F$3:$F$97,$A$3:$A$97,A69,$B$3:$B$97,0)),"")</f>
        <v/>
      </c>
      <c r="J69" s="14">
        <f>IFERROR(IF(B69=0,1,IF(C69&lt;=1,G69-SUMIFS($G$3:$G$97,$A$3:$A$97,A69,$B$3:$B$97,0),G69-G68)/E69/(SUMIFS($G$3:$G$97,$A$3:$A$97,A69,$B$3:$B$97,0)/SUMIFS($F$3:$F$97,$A$3:$A$97,A69,$B$3:$B$97,0))),"")</f>
        <v/>
      </c>
      <c r="K69" s="9" t="n">
        <v>0.408</v>
      </c>
      <c r="L69" s="9" t="n">
        <v>0.745</v>
      </c>
      <c r="M69" s="14">
        <f>IF(OR(K69="",L69="",L69=0),"",K69/L69)</f>
        <v/>
      </c>
      <c r="N69" s="9" t="inlineStr">
        <is>
          <t>布阵</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sniper</t>
        </is>
      </c>
      <c r="B70" s="9" t="n">
        <v>2</v>
      </c>
      <c r="C70" s="9" t="n">
        <v>4</v>
      </c>
      <c r="D70" s="9" t="inlineStr">
        <is>
          <t>多点投递</t>
        </is>
      </c>
      <c r="E70" s="9" t="n">
        <v>550</v>
      </c>
      <c r="F70" s="9" t="n">
        <v>1230</v>
      </c>
      <c r="G70" s="9" t="n">
        <v>24.34</v>
      </c>
      <c r="H70" s="14">
        <f>G70/F70*100</f>
        <v/>
      </c>
      <c r="I70" s="14">
        <f>IFERROR((G70/F70)/(SUMIFS($G$3:$G$97,$A$3:$A$97,A70,$B$3:$B$97,0)/SUMIFS($F$3:$F$97,$A$3:$A$97,A70,$B$3:$B$97,0)),"")</f>
        <v/>
      </c>
      <c r="J70" s="14">
        <f>IFERROR(IF(B70=0,1,IF(C70&lt;=1,G70-SUMIFS($G$3:$G$97,$A$3:$A$97,A70,$B$3:$B$97,0),G70-G69)/E70/(SUMIFS($G$3:$G$97,$A$3:$A$97,A70,$B$3:$B$97,0)/SUMIFS($F$3:$F$97,$A$3:$A$97,A70,$B$3:$B$97,0))),"")</f>
        <v/>
      </c>
      <c r="K70" s="9" t="n">
        <v>0.6</v>
      </c>
      <c r="L70" s="9" t="n">
        <v>0.945</v>
      </c>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sniper</t>
        </is>
      </c>
      <c r="B71" s="9" t="n">
        <v>2</v>
      </c>
      <c r="C71" s="9" t="n">
        <v>5</v>
      </c>
      <c r="D71" s="9" t="inlineStr">
        <is>
          <t>编队配送</t>
        </is>
      </c>
      <c r="E71" s="9" t="n">
        <v>1500</v>
      </c>
      <c r="F71" s="9" t="n">
        <v>2730</v>
      </c>
      <c r="G71" s="9" t="n">
        <v>38.94</v>
      </c>
      <c r="H71" s="14">
        <f>G71/F71*100</f>
        <v/>
      </c>
      <c r="I71" s="14">
        <f>IFERROR((G71/F71)/(SUMIFS($G$3:$G$97,$A$3:$A$97,A71,$B$3:$B$97,0)/SUMIFS($F$3:$F$97,$A$3:$A$97,A71,$B$3:$B$97,0)),"")</f>
        <v/>
      </c>
      <c r="J71" s="14">
        <f>IFERROR(IF(B71=0,1,IF(C71&lt;=1,G71-SUMIFS($G$3:$G$97,$A$3:$A$97,A71,$B$3:$B$97,0),G71-G70)/E71/(SUMIFS($G$3:$G$97,$A$3:$A$97,A71,$B$3:$B$97,0)/SUMIFS($F$3:$F$97,$A$3:$A$97,A71,$B$3:$B$97,0))),"")</f>
        <v/>
      </c>
      <c r="K71" s="9" t="n"/>
      <c r="L71" s="9" t="n"/>
      <c r="M71" s="14">
        <f>IF(OR(K71="",L71="",L71=0),"",K71/L71)</f>
        <v/>
      </c>
      <c r="N71" s="9" t="inlineStr"/>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sniper</t>
        </is>
      </c>
      <c r="B72" s="9" t="n">
        <v>2</v>
      </c>
      <c r="C72" s="9" t="n">
        <v>6</v>
      </c>
      <c r="D72" s="9" t="inlineStr">
        <is>
          <t>鞋盒空投编队</t>
        </is>
      </c>
      <c r="E72" s="9" t="n">
        <v>3600</v>
      </c>
      <c r="F72" s="9" t="n">
        <v>6330</v>
      </c>
      <c r="G72" s="9" t="n">
        <v>145.38</v>
      </c>
      <c r="H72" s="14">
        <f>G72/F72*100</f>
        <v/>
      </c>
      <c r="I72" s="14">
        <f>IFERROR((G72/F72)/(SUMIFS($G$3:$G$97,$A$3:$A$97,A72,$B$3:$B$97,0)/SUMIFS($F$3:$F$97,$A$3:$A$97,A72,$B$3:$B$97,0)),"")</f>
        <v/>
      </c>
      <c r="J72" s="14">
        <f>IFERROR(IF(B72=0,1,IF(C72&lt;=1,G72-SUMIFS($G$3:$G$97,$A$3:$A$97,A72,$B$3:$B$97,0),G72-G71)/E72/(SUMIFS($G$3:$G$97,$A$3:$A$97,A72,$B$3:$B$97,0)/SUMIFS($F$3:$F$97,$A$3:$A$97,A72,$B$3:$B$97,0))),"")</f>
        <v/>
      </c>
      <c r="K72" s="9" t="n"/>
      <c r="L72" s="9" t="n"/>
      <c r="M72" s="14">
        <f>IF(OR(K72="",L72="",L72=0),"",K72/L72)</f>
        <v/>
      </c>
      <c r="N72" s="9" t="inlineStr"/>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sniper</t>
        </is>
      </c>
      <c r="B73" s="9" t="n">
        <v>3</v>
      </c>
      <c r="C73" s="9" t="n">
        <v>1</v>
      </c>
      <c r="D73" s="9" t="inlineStr">
        <is>
          <t>快速返航</t>
        </is>
      </c>
      <c r="E73" s="9" t="n">
        <v>70</v>
      </c>
      <c r="F73" s="9" t="n">
        <v>250</v>
      </c>
      <c r="G73" s="9" t="n">
        <v>5.73</v>
      </c>
      <c r="H73" s="14">
        <f>G73/F73*100</f>
        <v/>
      </c>
      <c r="I73" s="14">
        <f>IFERROR((G73/F73)/(SUMIFS($G$3:$G$97,$A$3:$A$97,A73,$B$3:$B$97,0)/SUMIFS($F$3:$F$97,$A$3:$A$97,A73,$B$3:$B$97,0)),"")</f>
        <v/>
      </c>
      <c r="J73" s="14">
        <f>IFERROR(IF(B73=0,1,IF(C73&lt;=1,G73-SUMIFS($G$3:$G$97,$A$3:$A$97,A73,$B$3:$B$97,0),G73-G72)/E73/(SUMIFS($G$3:$G$97,$A$3:$A$97,A73,$B$3:$B$97,0)/SUMIFS($F$3:$F$97,$A$3:$A$97,A73,$B$3:$B$97,0))),"")</f>
        <v/>
      </c>
      <c r="K73" s="9" t="n">
        <v>0.267</v>
      </c>
      <c r="L73" s="9" t="n">
        <v>0.305</v>
      </c>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sniper</t>
        </is>
      </c>
      <c r="B74" s="9" t="n">
        <v>3</v>
      </c>
      <c r="C74" s="9" t="n">
        <v>2</v>
      </c>
      <c r="D74" s="9" t="inlineStr">
        <is>
          <t>缩短整备</t>
        </is>
      </c>
      <c r="E74" s="9" t="n">
        <v>120</v>
      </c>
      <c r="F74" s="9" t="n">
        <v>370</v>
      </c>
      <c r="G74" s="9" t="n">
        <v>6.74</v>
      </c>
      <c r="H74" s="14">
        <f>G74/F74*100</f>
        <v/>
      </c>
      <c r="I74" s="14">
        <f>IFERROR((G74/F74)/(SUMIFS($G$3:$G$97,$A$3:$A$97,A74,$B$3:$B$97,0)/SUMIFS($F$3:$F$97,$A$3:$A$97,A74,$B$3:$B$97,0)),"")</f>
        <v/>
      </c>
      <c r="J74" s="14">
        <f>IFERROR(IF(B74=0,1,IF(C74&lt;=1,G74-SUMIFS($G$3:$G$97,$A$3:$A$97,A74,$B$3:$B$97,0),G74-G73)/E74/(SUMIFS($G$3:$G$97,$A$3:$A$97,A74,$B$3:$B$97,0)/SUMIFS($F$3:$F$97,$A$3:$A$97,A74,$B$3:$B$97,0))),"")</f>
        <v/>
      </c>
      <c r="K74" s="9" t="n">
        <v>0.292</v>
      </c>
      <c r="L74" s="9" t="n">
        <v>0.462</v>
      </c>
      <c r="M74" s="14">
        <f>IF(OR(K74="",L74="",L74=0),"",K74/L74)</f>
        <v/>
      </c>
      <c r="N74" s="9" t="inlineStr"/>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sniper</t>
        </is>
      </c>
      <c r="B75" s="9" t="n">
        <v>3</v>
      </c>
      <c r="C75" s="9" t="n">
        <v>3</v>
      </c>
      <c r="D75" s="9" t="inlineStr">
        <is>
          <t>补给箱</t>
        </is>
      </c>
      <c r="E75" s="9" t="n">
        <v>300</v>
      </c>
      <c r="F75" s="9" t="n">
        <v>670</v>
      </c>
      <c r="G75" s="9" t="n">
        <v>6.74</v>
      </c>
      <c r="H75" s="14">
        <f>G75/F75*100</f>
        <v/>
      </c>
      <c r="I75" s="14">
        <f>IFERROR((G75/F75)/(SUMIFS($G$3:$G$97,$A$3:$A$97,A75,$B$3:$B$97,0)/SUMIFS($F$3:$F$97,$A$3:$A$97,A75,$B$3:$B$97,0)),"")</f>
        <v/>
      </c>
      <c r="J75" s="14">
        <f>IFERROR(IF(B75=0,1,IF(C75&lt;=1,G75-SUMIFS($G$3:$G$97,$A$3:$A$97,A75,$B$3:$B$97,0),G75-G74)/E75/(SUMIFS($G$3:$G$97,$A$3:$A$97,A75,$B$3:$B$97,0)/SUMIFS($F$3:$F$97,$A$3:$A$97,A75,$B$3:$B$97,0))),"")</f>
        <v/>
      </c>
      <c r="K75" s="9" t="n">
        <v>0.267</v>
      </c>
      <c r="L75" s="9" t="n">
        <v>0.735</v>
      </c>
      <c r="M75" s="14">
        <f>IF(OR(K75="",L75="",L75=0),"",K75/L75)</f>
        <v/>
      </c>
      <c r="N75" s="9" t="inlineStr">
        <is>
          <t>补给</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sniper</t>
        </is>
      </c>
      <c r="B76" s="9" t="n">
        <v>3</v>
      </c>
      <c r="C76" s="9" t="n">
        <v>4</v>
      </c>
      <c r="D76" s="9" t="inlineStr">
        <is>
          <t>长效补给</t>
        </is>
      </c>
      <c r="E76" s="9" t="n">
        <v>600</v>
      </c>
      <c r="F76" s="9" t="n">
        <v>1270</v>
      </c>
      <c r="G76" s="9" t="n">
        <v>6.74</v>
      </c>
      <c r="H76" s="14">
        <f>G76/F76*100</f>
        <v/>
      </c>
      <c r="I76" s="14">
        <f>IFERROR((G76/F76)/(SUMIFS($G$3:$G$97,$A$3:$A$97,A76,$B$3:$B$97,0)/SUMIFS($F$3:$F$97,$A$3:$A$97,A76,$B$3:$B$97,0)),"")</f>
        <v/>
      </c>
      <c r="J76" s="14">
        <f>IFERROR(IF(B76=0,1,IF(C76&lt;=1,G76-SUMIFS($G$3:$G$97,$A$3:$A$97,A76,$B$3:$B$97,0),G76-G75)/E76/(SUMIFS($G$3:$G$97,$A$3:$A$97,A76,$B$3:$B$97,0)/SUMIFS($F$3:$F$97,$A$3:$A$97,A76,$B$3:$B$97,0))),"")</f>
        <v/>
      </c>
      <c r="K76" s="9" t="n">
        <v>0.289</v>
      </c>
      <c r="L76" s="9" t="n">
        <v>0.958</v>
      </c>
      <c r="M76" s="14">
        <f>IF(OR(K76="",L76="",L76=0),"",K76/L76)</f>
        <v/>
      </c>
      <c r="N76" s="9" t="inlineStr">
        <is>
          <t>补给</t>
        </is>
      </c>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sniper</t>
        </is>
      </c>
      <c r="B77" s="9" t="n">
        <v>3</v>
      </c>
      <c r="C77" s="9" t="n">
        <v>5</v>
      </c>
      <c r="D77" s="9" t="inlineStr">
        <is>
          <t>多点补给</t>
        </is>
      </c>
      <c r="E77" s="9" t="n">
        <v>1300</v>
      </c>
      <c r="F77" s="9" t="n">
        <v>2570</v>
      </c>
      <c r="G77" s="9" t="n">
        <v>6.74</v>
      </c>
      <c r="H77" s="14">
        <f>G77/F77*100</f>
        <v/>
      </c>
      <c r="I77" s="14">
        <f>IFERROR((G77/F77)/(SUMIFS($G$3:$G$97,$A$3:$A$97,A77,$B$3:$B$97,0)/SUMIFS($F$3:$F$97,$A$3:$A$97,A77,$B$3:$B$97,0)),"")</f>
        <v/>
      </c>
      <c r="J77" s="14">
        <f>IFERROR(IF(B77=0,1,IF(C77&lt;=1,G77-SUMIFS($G$3:$G$97,$A$3:$A$97,A77,$B$3:$B$97,0),G77-G76)/E77/(SUMIFS($G$3:$G$97,$A$3:$A$97,A77,$B$3:$B$97,0)/SUMIFS($F$3:$F$97,$A$3:$A$97,A77,$B$3:$B$97,0))),"")</f>
        <v/>
      </c>
      <c r="K77" s="9" t="n"/>
      <c r="L77" s="9" t="n"/>
      <c r="M77" s="14">
        <f>IF(OR(K77="",L77="",L77=0),"",K77/L77)</f>
        <v/>
      </c>
      <c r="N77" s="9" t="inlineStr">
        <is>
          <t>补给</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sniper</t>
        </is>
      </c>
      <c r="B78" s="9" t="n">
        <v>3</v>
      </c>
      <c r="C78" s="9" t="n">
        <v>6</v>
      </c>
      <c r="D78" s="9" t="inlineStr">
        <is>
          <t>紧急后勤总部</t>
        </is>
      </c>
      <c r="E78" s="9" t="n">
        <v>3200</v>
      </c>
      <c r="F78" s="9" t="n">
        <v>5770</v>
      </c>
      <c r="G78" s="9" t="n">
        <v>0</v>
      </c>
      <c r="H78" s="14">
        <f>G78/F78*100</f>
        <v/>
      </c>
      <c r="I78" s="14">
        <f>IFERROR((G78/F78)/(SUMIFS($G$3:$G$97,$A$3:$A$97,A78,$B$3:$B$97,0)/SUMIFS($F$3:$F$97,$A$3:$A$97,A78,$B$3:$B$97,0)),"")</f>
        <v/>
      </c>
      <c r="J78" s="14">
        <f>IFERROR(IF(B78=0,1,IF(C78&lt;=1,G78-SUMIFS($G$3:$G$97,$A$3:$A$97,A78,$B$3:$B$97,0),G78-G77)/E78/(SUMIFS($G$3:$G$97,$A$3:$A$97,A78,$B$3:$B$97,0)/SUMIFS($F$3:$F$97,$A$3:$A$97,A78,$B$3:$B$97,0))),"")</f>
        <v/>
      </c>
      <c r="K78" s="9" t="n"/>
      <c r="L78" s="9" t="n"/>
      <c r="M78" s="14">
        <f>IF(OR(K78="",L78="",L78=0),"",K78/L78)</f>
        <v/>
      </c>
      <c r="N78" s="9" t="inlineStr">
        <is>
          <t>补给</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tesla</t>
        </is>
      </c>
      <c r="B79" s="9" t="n">
        <v>0</v>
      </c>
      <c r="C79" s="9" t="n">
        <v>0</v>
      </c>
      <c r="D79" s="9" t="inlineStr">
        <is>
          <t>基础</t>
        </is>
      </c>
      <c r="E79" s="9" t="n">
        <v>150</v>
      </c>
      <c r="F79" s="9" t="n">
        <v>150</v>
      </c>
      <c r="G79" s="9" t="n">
        <v>6.4</v>
      </c>
      <c r="H79" s="14">
        <f>G79/F79*100</f>
        <v/>
      </c>
      <c r="I79" s="14">
        <f>IFERROR((G79/F79)/(SUMIFS($G$3:$G$97,$A$3:$A$97,A79,$B$3:$B$97,0)/SUMIFS($F$3:$F$97,$A$3:$A$97,A79,$B$3:$B$97,0)),"")</f>
        <v/>
      </c>
      <c r="J79" s="14">
        <f>IFERROR(IF(B79=0,1,IF(C79&lt;=1,G79-SUMIFS($G$3:$G$97,$A$3:$A$97,A79,$B$3:$B$97,0),G79-G78)/E79/(SUMIFS($G$3:$G$97,$A$3:$A$97,A79,$B$3:$B$97,0)/SUMIFS($F$3:$F$97,$A$3:$A$97,A79,$B$3:$B$97,0))),"")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tesla</t>
        </is>
      </c>
      <c r="B80" s="9" t="n">
        <v>1</v>
      </c>
      <c r="C80" s="9" t="n">
        <v>1</v>
      </c>
      <c r="D80" s="9" t="inlineStr">
        <is>
          <t>大嗓门</t>
        </is>
      </c>
      <c r="E80" s="9" t="n">
        <v>45</v>
      </c>
      <c r="F80" s="9" t="n">
        <v>195</v>
      </c>
      <c r="G80" s="9" t="n">
        <v>6.4</v>
      </c>
      <c r="H80" s="14">
        <f>G80/F80*100</f>
        <v/>
      </c>
      <c r="I80" s="14">
        <f>IFERROR((G80/F80)/(SUMIFS($G$3:$G$97,$A$3:$A$97,A80,$B$3:$B$97,0)/SUMIFS($F$3:$F$97,$A$3:$A$97,A80,$B$3:$B$97,0)),"")</f>
        <v/>
      </c>
      <c r="J80" s="14">
        <f>IFERROR(IF(B80=0,1,IF(C80&lt;=1,G80-SUMIFS($G$3:$G$97,$A$3:$A$97,A80,$B$3:$B$97,0),G80-G79)/E80/(SUMIFS($G$3:$G$97,$A$3:$A$97,A80,$B$3:$B$97,0)/SUMIFS($F$3:$F$97,$A$3:$A$97,A80,$B$3:$B$97,0))),"")</f>
        <v/>
      </c>
      <c r="K80" s="9" t="n">
        <v>0.257</v>
      </c>
      <c r="L80" s="9" t="n">
        <v>0.336</v>
      </c>
      <c r="M80" s="14">
        <f>IF(OR(K80="",L80="",L80=0),"",K80/L80)</f>
        <v/>
      </c>
      <c r="N80" s="9" t="inlineStr">
        <is>
          <t>传播</t>
        </is>
      </c>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tesla</t>
        </is>
      </c>
      <c r="B81" s="9" t="n">
        <v>1</v>
      </c>
      <c r="C81" s="9" t="n">
        <v>2</v>
      </c>
      <c r="D81" s="9" t="inlineStr">
        <is>
          <t>多传两人</t>
        </is>
      </c>
      <c r="E81" s="9" t="n">
        <v>80</v>
      </c>
      <c r="F81" s="9" t="n">
        <v>275</v>
      </c>
      <c r="G81" s="9" t="n">
        <v>9.23</v>
      </c>
      <c r="H81" s="14">
        <f>G81/F81*100</f>
        <v/>
      </c>
      <c r="I81" s="14">
        <f>IFERROR((G81/F81)/(SUMIFS($G$3:$G$97,$A$3:$A$97,A81,$B$3:$B$97,0)/SUMIFS($F$3:$F$97,$A$3:$A$97,A81,$B$3:$B$97,0)),"")</f>
        <v/>
      </c>
      <c r="J81" s="14">
        <f>IFERROR(IF(B81=0,1,IF(C81&lt;=1,G81-SUMIFS($G$3:$G$97,$A$3:$A$97,A81,$B$3:$B$97,0),G81-G80)/E81/(SUMIFS($G$3:$G$97,$A$3:$A$97,A81,$B$3:$B$97,0)/SUMIFS($F$3:$F$97,$A$3:$A$97,A81,$B$3:$B$97,0))),"")</f>
        <v/>
      </c>
      <c r="K81" s="9" t="n">
        <v>0.379</v>
      </c>
      <c r="L81" s="9" t="n">
        <v>0.461</v>
      </c>
      <c r="M81" s="14">
        <f>IF(OR(K81="",L81="",L81=0),"",K81/L81)</f>
        <v/>
      </c>
      <c r="N81" s="9" t="inlineStr"/>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tesla</t>
        </is>
      </c>
      <c r="B82" s="9" t="n">
        <v>1</v>
      </c>
      <c r="C82" s="9" t="n">
        <v>3</v>
      </c>
      <c r="D82" s="9" t="inlineStr">
        <is>
          <t>跑者接唱</t>
        </is>
      </c>
      <c r="E82" s="9" t="n">
        <v>300</v>
      </c>
      <c r="F82" s="9" t="n">
        <v>575</v>
      </c>
      <c r="G82" s="9" t="n">
        <v>16.75</v>
      </c>
      <c r="H82" s="14">
        <f>G82/F82*100</f>
        <v/>
      </c>
      <c r="I82" s="14">
        <f>IFERROR((G82/F82)/(SUMIFS($G$3:$G$97,$A$3:$A$97,A82,$B$3:$B$97,0)/SUMIFS($F$3:$F$97,$A$3:$A$97,A82,$B$3:$B$97,0)),"")</f>
        <v/>
      </c>
      <c r="J82" s="14">
        <f>IFERROR(IF(B82=0,1,IF(C82&lt;=1,G82-SUMIFS($G$3:$G$97,$A$3:$A$97,A82,$B$3:$B$97,0),G82-G81)/E82/(SUMIFS($G$3:$G$97,$A$3:$A$97,A82,$B$3:$B$97,0)/SUMIFS($F$3:$F$97,$A$3:$A$97,A82,$B$3:$B$97,0))),"")</f>
        <v/>
      </c>
      <c r="K82" s="9" t="n">
        <v>0.613</v>
      </c>
      <c r="L82" s="9" t="n">
        <v>0.8129999999999999</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tesla</t>
        </is>
      </c>
      <c r="B83" s="9" t="n">
        <v>1</v>
      </c>
      <c r="C83" s="9" t="n">
        <v>4</v>
      </c>
      <c r="D83" s="9" t="inlineStr">
        <is>
          <t>小队串联</t>
        </is>
      </c>
      <c r="E83" s="9" t="n">
        <v>500</v>
      </c>
      <c r="F83" s="9" t="n">
        <v>1075</v>
      </c>
      <c r="G83" s="9" t="n">
        <v>16.75</v>
      </c>
      <c r="H83" s="14">
        <f>G83/F83*100</f>
        <v/>
      </c>
      <c r="I83" s="14">
        <f>IFERROR((G83/F83)/(SUMIFS($G$3:$G$97,$A$3:$A$97,A83,$B$3:$B$97,0)/SUMIFS($F$3:$F$97,$A$3:$A$97,A83,$B$3:$B$97,0)),"")</f>
        <v/>
      </c>
      <c r="J83" s="14">
        <f>IFERROR(IF(B83=0,1,IF(C83&lt;=1,G83-SUMIFS($G$3:$G$97,$A$3:$A$97,A83,$B$3:$B$97,0),G83-G82)/E83/(SUMIFS($G$3:$G$97,$A$3:$A$97,A83,$B$3:$B$97,0)/SUMIFS($F$3:$F$97,$A$3:$A$97,A83,$B$3:$B$97,0))),"")</f>
        <v/>
      </c>
      <c r="K83" s="9" t="n">
        <v>0.624</v>
      </c>
      <c r="L83" s="9" t="n">
        <v>0.964</v>
      </c>
      <c r="M83" s="14">
        <f>IF(OR(K83="",L83="",L83=0),"",K83/L83)</f>
        <v/>
      </c>
      <c r="N83" s="9" t="inlineStr">
        <is>
          <t>传播</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tesla</t>
        </is>
      </c>
      <c r="B84" s="9" t="n">
        <v>1</v>
      </c>
      <c r="C84" s="9" t="n">
        <v>5</v>
      </c>
      <c r="D84" s="9" t="inlineStr">
        <is>
          <t>长链神曲</t>
        </is>
      </c>
      <c r="E84" s="9" t="n">
        <v>1400</v>
      </c>
      <c r="F84" s="9" t="n">
        <v>2475</v>
      </c>
      <c r="G84" s="9" t="n">
        <v>18.41</v>
      </c>
      <c r="H84" s="14">
        <f>G84/F84*100</f>
        <v/>
      </c>
      <c r="I84" s="14">
        <f>IFERROR((G84/F84)/(SUMIFS($G$3:$G$97,$A$3:$A$97,A84,$B$3:$B$97,0)/SUMIFS($F$3:$F$97,$A$3:$A$97,A84,$B$3:$B$97,0)),"")</f>
        <v/>
      </c>
      <c r="J84" s="14">
        <f>IFERROR(IF(B84=0,1,IF(C84&lt;=1,G84-SUMIFS($G$3:$G$97,$A$3:$A$97,A84,$B$3:$B$97,0),G84-G83)/E84/(SUMIFS($G$3:$G$97,$A$3:$A$97,A84,$B$3:$B$97,0)/SUMIFS($F$3:$F$97,$A$3:$A$97,A84,$B$3:$B$97,0))),"")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tesla</t>
        </is>
      </c>
      <c r="B85" s="9" t="n">
        <v>1</v>
      </c>
      <c r="C85" s="9" t="n">
        <v>6</v>
      </c>
      <c r="D85" s="9" t="inlineStr">
        <is>
          <t>巡回神曲</t>
        </is>
      </c>
      <c r="E85" s="9" t="n">
        <v>3400</v>
      </c>
      <c r="F85" s="9" t="n">
        <v>5875</v>
      </c>
      <c r="G85" s="9" t="n">
        <v>56</v>
      </c>
      <c r="H85" s="14">
        <f>G85/F85*100</f>
        <v/>
      </c>
      <c r="I85" s="14">
        <f>IFERROR((G85/F85)/(SUMIFS($G$3:$G$97,$A$3:$A$97,A85,$B$3:$B$97,0)/SUMIFS($F$3:$F$97,$A$3:$A$97,A85,$B$3:$B$97,0)),"")</f>
        <v/>
      </c>
      <c r="J85" s="14">
        <f>IFERROR(IF(B85=0,1,IF(C85&lt;=1,G85-SUMIFS($G$3:$G$97,$A$3:$A$97,A85,$B$3:$B$97,0),G85-G84)/E85/(SUMIFS($G$3:$G$97,$A$3:$A$97,A85,$B$3:$B$97,0)/SUMIFS($F$3:$F$97,$A$3:$A$97,A85,$B$3:$B$97,0))),"")</f>
        <v/>
      </c>
      <c r="K85" s="9" t="n"/>
      <c r="L85" s="9" t="n"/>
      <c r="M85" s="14">
        <f>IF(OR(K85="",L85="",L85=0),"",K85/L85)</f>
        <v/>
      </c>
      <c r="N85" s="9" t="inlineStr">
        <is>
          <t>传播</t>
        </is>
      </c>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tesla</t>
        </is>
      </c>
      <c r="B86" s="9" t="n">
        <v>2</v>
      </c>
      <c r="C86" s="9" t="n">
        <v>1</v>
      </c>
      <c r="D86" s="9" t="inlineStr">
        <is>
          <t>低音炮</t>
        </is>
      </c>
      <c r="E86" s="9" t="n">
        <v>70</v>
      </c>
      <c r="F86" s="9" t="n">
        <v>220</v>
      </c>
      <c r="G86" s="9" t="n">
        <v>9.6</v>
      </c>
      <c r="H86" s="14">
        <f>G86/F86*100</f>
        <v/>
      </c>
      <c r="I86" s="14">
        <f>IFERROR((G86/F86)/(SUMIFS($G$3:$G$97,$A$3:$A$97,A86,$B$3:$B$97,0)/SUMIFS($F$3:$F$97,$A$3:$A$97,A86,$B$3:$B$97,0)),"")</f>
        <v/>
      </c>
      <c r="J86" s="14">
        <f>IFERROR(IF(B86=0,1,IF(C86&lt;=1,G86-SUMIFS($G$3:$G$97,$A$3:$A$97,A86,$B$3:$B$97,0),G86-G85)/E86/(SUMIFS($G$3:$G$97,$A$3:$A$97,A86,$B$3:$B$97,0)/SUMIFS($F$3:$F$97,$A$3:$A$97,A86,$B$3:$B$97,0))),"")</f>
        <v/>
      </c>
      <c r="K86" s="9" t="n">
        <v>0.425</v>
      </c>
      <c r="L86" s="9" t="n">
        <v>0.375</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tesla</t>
        </is>
      </c>
      <c r="B87" s="9" t="n">
        <v>2</v>
      </c>
      <c r="C87" s="9" t="n">
        <v>2</v>
      </c>
      <c r="D87" s="9" t="inlineStr">
        <is>
          <t>共振</t>
        </is>
      </c>
      <c r="E87" s="9" t="n">
        <v>130</v>
      </c>
      <c r="F87" s="9" t="n">
        <v>350</v>
      </c>
      <c r="G87" s="9" t="n">
        <v>13.93</v>
      </c>
      <c r="H87" s="14">
        <f>G87/F87*100</f>
        <v/>
      </c>
      <c r="I87" s="14">
        <f>IFERROR((G87/F87)/(SUMIFS($G$3:$G$97,$A$3:$A$97,A87,$B$3:$B$97,0)/SUMIFS($F$3:$F$97,$A$3:$A$97,A87,$B$3:$B$97,0)),"")</f>
        <v/>
      </c>
      <c r="J87" s="14">
        <f>IFERROR(IF(B87=0,1,IF(C87&lt;=1,G87-SUMIFS($G$3:$G$97,$A$3:$A$97,A87,$B$3:$B$97,0),G87-G86)/E87/(SUMIFS($G$3:$G$97,$A$3:$A$97,A87,$B$3:$B$97,0)/SUMIFS($F$3:$F$97,$A$3:$A$97,A87,$B$3:$B$97,0))),"")</f>
        <v/>
      </c>
      <c r="K87" s="9" t="n">
        <v>0.403</v>
      </c>
      <c r="L87" s="9" t="n">
        <v>0.574</v>
      </c>
      <c r="M87" s="14">
        <f>IF(OR(K87="",L87="",L87=0),"",K87/L87)</f>
        <v/>
      </c>
      <c r="N87" s="9" t="inlineStr"/>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tesla</t>
        </is>
      </c>
      <c r="B88" s="9" t="n">
        <v>2</v>
      </c>
      <c r="C88" s="9" t="n">
        <v>3</v>
      </c>
      <c r="D88" s="9" t="inlineStr">
        <is>
          <t>音符积累</t>
        </is>
      </c>
      <c r="E88" s="9" t="n">
        <v>240</v>
      </c>
      <c r="F88" s="9" t="n">
        <v>590</v>
      </c>
      <c r="G88" s="9" t="n">
        <v>13.93</v>
      </c>
      <c r="H88" s="14">
        <f>G88/F88*100</f>
        <v/>
      </c>
      <c r="I88" s="14">
        <f>IFERROR((G88/F88)/(SUMIFS($G$3:$G$97,$A$3:$A$97,A88,$B$3:$B$97,0)/SUMIFS($F$3:$F$97,$A$3:$A$97,A88,$B$3:$B$97,0)),"")</f>
        <v/>
      </c>
      <c r="J88" s="14">
        <f>IFERROR(IF(B88=0,1,IF(C88&lt;=1,G88-SUMIFS($G$3:$G$97,$A$3:$A$97,A88,$B$3:$B$97,0),G88-G87)/E88/(SUMIFS($G$3:$G$97,$A$3:$A$97,A88,$B$3:$B$97,0)/SUMIFS($F$3:$F$97,$A$3:$A$97,A88,$B$3:$B$97,0))),"")</f>
        <v/>
      </c>
      <c r="K88" s="9" t="n">
        <v>0.423</v>
      </c>
      <c r="L88" s="9" t="n">
        <v>0.824</v>
      </c>
      <c r="M88" s="14">
        <f>IF(OR(K88="",L88="",L88=0),"",K88/L88)</f>
        <v/>
      </c>
      <c r="N88" s="9" t="inlineStr"/>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tesla</t>
        </is>
      </c>
      <c r="B89" s="9" t="n">
        <v>2</v>
      </c>
      <c r="C89" s="9" t="n">
        <v>4</v>
      </c>
      <c r="D89" s="9" t="inlineStr">
        <is>
          <t>共振扩散</t>
        </is>
      </c>
      <c r="E89" s="9" t="n">
        <v>520</v>
      </c>
      <c r="F89" s="9" t="n">
        <v>1110</v>
      </c>
      <c r="G89" s="9" t="n">
        <v>16.81</v>
      </c>
      <c r="H89" s="14">
        <f>G89/F89*100</f>
        <v/>
      </c>
      <c r="I89" s="14">
        <f>IFERROR((G89/F89)/(SUMIFS($G$3:$G$97,$A$3:$A$97,A89,$B$3:$B$97,0)/SUMIFS($F$3:$F$97,$A$3:$A$97,A89,$B$3:$B$97,0)),"")</f>
        <v/>
      </c>
      <c r="J89" s="14">
        <f>IFERROR(IF(B89=0,1,IF(C89&lt;=1,G89-SUMIFS($G$3:$G$97,$A$3:$A$97,A89,$B$3:$B$97,0),G89-G88)/E89/(SUMIFS($G$3:$G$97,$A$3:$A$97,A89,$B$3:$B$97,0)/SUMIFS($F$3:$F$97,$A$3:$A$97,A89,$B$3:$B$97,0))),"")</f>
        <v/>
      </c>
      <c r="K89" s="9" t="n">
        <v>0.602</v>
      </c>
      <c r="L89" s="9" t="n">
        <v>0.974</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tesla</t>
        </is>
      </c>
      <c r="B90" s="9" t="n">
        <v>2</v>
      </c>
      <c r="C90" s="9" t="n">
        <v>5</v>
      </c>
      <c r="D90" s="9" t="inlineStr">
        <is>
          <t>同步爆发</t>
        </is>
      </c>
      <c r="E90" s="9" t="n">
        <v>1500</v>
      </c>
      <c r="F90" s="9" t="n">
        <v>2610</v>
      </c>
      <c r="G90" s="9" t="n">
        <v>36.81</v>
      </c>
      <c r="H90" s="14">
        <f>G90/F90*100</f>
        <v/>
      </c>
      <c r="I90" s="14">
        <f>IFERROR((G90/F90)/(SUMIFS($G$3:$G$97,$A$3:$A$97,A90,$B$3:$B$97,0)/SUMIFS($F$3:$F$97,$A$3:$A$97,A90,$B$3:$B$97,0)),"")</f>
        <v/>
      </c>
      <c r="J90" s="14">
        <f>IFERROR(IF(B90=0,1,IF(C90&lt;=1,G90-SUMIFS($G$3:$G$97,$A$3:$A$97,A90,$B$3:$B$97,0),G90-G89)/E90/(SUMIFS($G$3:$G$97,$A$3:$A$97,A90,$B$3:$B$97,0)/SUMIFS($F$3:$F$97,$A$3:$A$97,A90,$B$3:$B$97,0))),"")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tesla</t>
        </is>
      </c>
      <c r="B91" s="9" t="n">
        <v>2</v>
      </c>
      <c r="C91" s="9" t="n">
        <v>6</v>
      </c>
      <c r="D91" s="9" t="inlineStr">
        <is>
          <t>超级低音炮</t>
        </is>
      </c>
      <c r="E91" s="9" t="n">
        <v>3600</v>
      </c>
      <c r="F91" s="9" t="n">
        <v>6210</v>
      </c>
      <c r="G91" s="9" t="n">
        <v>155.74</v>
      </c>
      <c r="H91" s="14">
        <f>G91/F91*100</f>
        <v/>
      </c>
      <c r="I91" s="14">
        <f>IFERROR((G91/F91)/(SUMIFS($G$3:$G$97,$A$3:$A$97,A91,$B$3:$B$97,0)/SUMIFS($F$3:$F$97,$A$3:$A$97,A91,$B$3:$B$97,0)),"")</f>
        <v/>
      </c>
      <c r="J91" s="14">
        <f>IFERROR(IF(B91=0,1,IF(C91&lt;=1,G91-SUMIFS($G$3:$G$97,$A$3:$A$97,A91,$B$3:$B$97,0),G91-G90)/E91/(SUMIFS($G$3:$G$97,$A$3:$A$97,A91,$B$3:$B$97,0)/SUMIFS($F$3:$F$97,$A$3:$A$97,A91,$B$3:$B$97,0))),"")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tesla</t>
        </is>
      </c>
      <c r="B92" s="9" t="n">
        <v>3</v>
      </c>
      <c r="C92" s="9" t="n">
        <v>1</v>
      </c>
      <c r="D92" s="9" t="inlineStr">
        <is>
          <t>余音</t>
        </is>
      </c>
      <c r="E92" s="9" t="n">
        <v>50</v>
      </c>
      <c r="F92" s="9" t="n">
        <v>200</v>
      </c>
      <c r="G92" s="9" t="n">
        <v>6.4</v>
      </c>
      <c r="H92" s="14">
        <f>G92/F92*100</f>
        <v/>
      </c>
      <c r="I92" s="14">
        <f>IFERROR((G92/F92)/(SUMIFS($G$3:$G$97,$A$3:$A$97,A92,$B$3:$B$97,0)/SUMIFS($F$3:$F$97,$A$3:$A$97,A92,$B$3:$B$97,0)),"")</f>
        <v/>
      </c>
      <c r="J92" s="14">
        <f>IFERROR(IF(B92=0,1,IF(C92&lt;=1,G92-SUMIFS($G$3:$G$97,$A$3:$A$97,A92,$B$3:$B$97,0),G92-G91)/E92/(SUMIFS($G$3:$G$97,$A$3:$A$97,A92,$B$3:$B$97,0)/SUMIFS($F$3:$F$97,$A$3:$A$97,A92,$B$3:$B$97,0))),"")</f>
        <v/>
      </c>
      <c r="K92" s="9" t="n">
        <v>0.256</v>
      </c>
      <c r="L92" s="9" t="n">
        <v>0.344</v>
      </c>
      <c r="M92" s="14">
        <f>IF(OR(K92="",L92="",L92=0),"",K92/L92)</f>
        <v/>
      </c>
      <c r="N92" s="9" t="inlineStr">
        <is>
          <t>发懵</t>
        </is>
      </c>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tesla</t>
        </is>
      </c>
      <c r="B93" s="9" t="n">
        <v>3</v>
      </c>
      <c r="C93" s="9" t="n">
        <v>2</v>
      </c>
      <c r="D93" s="9" t="inlineStr">
        <is>
          <t>耳虫</t>
        </is>
      </c>
      <c r="E93" s="9" t="n">
        <v>110</v>
      </c>
      <c r="F93" s="9" t="n">
        <v>310</v>
      </c>
      <c r="G93" s="9" t="n">
        <v>8.199999999999999</v>
      </c>
      <c r="H93" s="14">
        <f>G93/F93*100</f>
        <v/>
      </c>
      <c r="I93" s="14">
        <f>IFERROR((G93/F93)/(SUMIFS($G$3:$G$97,$A$3:$A$97,A93,$B$3:$B$97,0)/SUMIFS($F$3:$F$97,$A$3:$A$97,A93,$B$3:$B$97,0)),"")</f>
        <v/>
      </c>
      <c r="J93" s="14">
        <f>IFERROR(IF(B93=0,1,IF(C93&lt;=1,G93-SUMIFS($G$3:$G$97,$A$3:$A$97,A93,$B$3:$B$97,0),G93-G92)/E93/(SUMIFS($G$3:$G$97,$A$3:$A$97,A93,$B$3:$B$97,0)/SUMIFS($F$3:$F$97,$A$3:$A$97,A93,$B$3:$B$97,0))),"")</f>
        <v/>
      </c>
      <c r="K93" s="9" t="n">
        <v>0.421</v>
      </c>
      <c r="L93" s="9" t="n">
        <v>0.515</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tesla</t>
        </is>
      </c>
      <c r="B94" s="9" t="n">
        <v>3</v>
      </c>
      <c r="C94" s="9" t="n">
        <v>3</v>
      </c>
      <c r="D94" s="9" t="inlineStr">
        <is>
          <t>离场余音</t>
        </is>
      </c>
      <c r="E94" s="9" t="n">
        <v>300</v>
      </c>
      <c r="F94" s="9" t="n">
        <v>610</v>
      </c>
      <c r="G94" s="9" t="n">
        <v>8.199999999999999</v>
      </c>
      <c r="H94" s="14">
        <f>G94/F94*100</f>
        <v/>
      </c>
      <c r="I94" s="14">
        <f>IFERROR((G94/F94)/(SUMIFS($G$3:$G$97,$A$3:$A$97,A94,$B$3:$B$97,0)/SUMIFS($F$3:$F$97,$A$3:$A$97,A94,$B$3:$B$97,0)),"")</f>
        <v/>
      </c>
      <c r="J94" s="14">
        <f>IFERROR(IF(B94=0,1,IF(C94&lt;=1,G94-SUMIFS($G$3:$G$97,$A$3:$A$97,A94,$B$3:$B$97,0),G94-G93)/E94/(SUMIFS($G$3:$G$97,$A$3:$A$97,A94,$B$3:$B$97,0)/SUMIFS($F$3:$F$97,$A$3:$A$97,A94,$B$3:$B$97,0))),"")</f>
        <v/>
      </c>
      <c r="K94" s="9" t="n">
        <v>0.444</v>
      </c>
      <c r="L94" s="9" t="n">
        <v>0.834</v>
      </c>
      <c r="M94" s="14">
        <f>IF(OR(K94="",L94="",L94=0),"",K94/L94)</f>
        <v/>
      </c>
      <c r="N94" s="9" t="inlineStr"/>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tesla</t>
        </is>
      </c>
      <c r="B95" s="9" t="n">
        <v>3</v>
      </c>
      <c r="C95" s="9" t="n">
        <v>4</v>
      </c>
      <c r="D95" s="9" t="inlineStr">
        <is>
          <t>强化余音</t>
        </is>
      </c>
      <c r="E95" s="9" t="n">
        <v>600</v>
      </c>
      <c r="F95" s="9" t="n">
        <v>1210</v>
      </c>
      <c r="G95" s="9" t="n">
        <v>10</v>
      </c>
      <c r="H95" s="14">
        <f>G95/F95*100</f>
        <v/>
      </c>
      <c r="I95" s="14">
        <f>IFERROR((G95/F95)/(SUMIFS($G$3:$G$97,$A$3:$A$97,A95,$B$3:$B$97,0)/SUMIFS($F$3:$F$97,$A$3:$A$97,A95,$B$3:$B$97,0)),"")</f>
        <v/>
      </c>
      <c r="J95" s="14">
        <f>IFERROR(IF(B95=0,1,IF(C95&lt;=1,G95-SUMIFS($G$3:$G$97,$A$3:$A$97,A95,$B$3:$B$97,0),G95-G94)/E95/(SUMIFS($G$3:$G$97,$A$3:$A$97,A95,$B$3:$B$97,0)/SUMIFS($F$3:$F$97,$A$3:$A$97,A95,$B$3:$B$97,0))),"")</f>
        <v/>
      </c>
      <c r="K95" s="9" t="n">
        <v>0.611</v>
      </c>
      <c r="L95" s="9" t="n">
        <v>1</v>
      </c>
      <c r="M95" s="14">
        <f>IF(OR(K95="",L95="",L95=0),"",K95/L95)</f>
        <v/>
      </c>
      <c r="N95" s="9" t="inlineStr"/>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tesla</t>
        </is>
      </c>
      <c r="B96" s="9" t="n">
        <v>3</v>
      </c>
      <c r="C96" s="9" t="n">
        <v>5</v>
      </c>
      <c r="D96" s="9" t="inlineStr">
        <is>
          <t>专属耳虫</t>
        </is>
      </c>
      <c r="E96" s="9" t="n">
        <v>1300</v>
      </c>
      <c r="F96" s="9" t="n">
        <v>2510</v>
      </c>
      <c r="G96" s="9" t="n">
        <v>16</v>
      </c>
      <c r="H96" s="14">
        <f>G96/F96*100</f>
        <v/>
      </c>
      <c r="I96" s="14">
        <f>IFERROR((G96/F96)/(SUMIFS($G$3:$G$97,$A$3:$A$97,A96,$B$3:$B$97,0)/SUMIFS($F$3:$F$97,$A$3:$A$97,A96,$B$3:$B$97,0)),"")</f>
        <v/>
      </c>
      <c r="J96" s="14">
        <f>IFERROR(IF(B96=0,1,IF(C96&lt;=1,G96-SUMIFS($G$3:$G$97,$A$3:$A$97,A96,$B$3:$B$97,0),G96-G95)/E96/(SUMIFS($G$3:$G$97,$A$3:$A$97,A96,$B$3:$B$97,0)/SUMIFS($F$3:$F$97,$A$3:$A$97,A96,$B$3:$B$97,0))),"")</f>
        <v/>
      </c>
      <c r="K96" s="9" t="n"/>
      <c r="L96" s="9" t="n"/>
      <c r="M96" s="14">
        <f>IF(OR(K96="",L96="",L96=0),"",K96/L96)</f>
        <v/>
      </c>
      <c r="N96" s="9" t="inlineStr">
        <is>
          <t>耳虫</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tesla</t>
        </is>
      </c>
      <c r="B97" s="9" t="n">
        <v>3</v>
      </c>
      <c r="C97" s="9" t="n">
        <v>6</v>
      </c>
      <c r="D97" s="9" t="inlineStr">
        <is>
          <t>终极耳虫</t>
        </is>
      </c>
      <c r="E97" s="9" t="n">
        <v>3200</v>
      </c>
      <c r="F97" s="9" t="n">
        <v>5710</v>
      </c>
      <c r="G97" s="9" t="n">
        <v>44.8</v>
      </c>
      <c r="H97" s="14">
        <f>G97/F97*100</f>
        <v/>
      </c>
      <c r="I97" s="14">
        <f>IFERROR((G97/F97)/(SUMIFS($G$3:$G$97,$A$3:$A$97,A97,$B$3:$B$97,0)/SUMIFS($F$3:$F$97,$A$3:$A$97,A97,$B$3:$B$97,0)),"")</f>
        <v/>
      </c>
      <c r="J97" s="14">
        <f>IFERROR(IF(B97=0,1,IF(C97&lt;=1,G97-SUMIFS($G$3:$G$97,$A$3:$A$97,A97,$B$3:$B$97,0),G97-G96)/E97/(SUMIFS($G$3:$G$97,$A$3:$A$97,A97,$B$3:$B$97,0)/SUMIFS($F$3:$F$97,$A$3:$A$97,A97,$B$3:$B$97,0))),"")</f>
        <v/>
      </c>
      <c r="K97" s="9" t="n"/>
      <c r="L97" s="9" t="n"/>
      <c r="M97" s="14">
        <f>IF(OR(K97="",L97="",L97=0),"",K97/L97)</f>
        <v/>
      </c>
      <c r="N97" s="9" t="inlineStr">
        <is>
          <t>耳虫</t>
        </is>
      </c>
      <c r="O97" s="9">
        <f>IF(B97=0,"基准",IF(C97=6,"6 级专精：空位用完后的出路，看后期实测，不和多放基础塔比",IF(AND(N97&lt;&gt;"",I97&lt;0.85),"功能型：单看输出偏低属正常",IF(I97&gt;=0.85,"划算",IF(I97&gt;=0.65,"略亏：空位紧张时仍值得","偏亏：建议降价或加强")))))</f>
        <v/>
      </c>
    </row>
    <row r="99">
      <c r="A99" s="10" t="inlineStr">
        <is>
          <t>怎么看：「比同价多买基础塔」= 这套升级每 GST 的输出 ÷ 基础装置每 GST 的输出。1.0 表示和把钱拿去多放几座基础装置一样划算；装置空位有限，所以 0.85 以上就算合格。</t>
        </is>
      </c>
    </row>
    <row r="100">
      <c r="A100" s="10" t="inlineStr">
        <is>
          <t>估算假设：跑者间距 26 像素，射程内覆盖跑道 ≈ 1.6 × 射程，射程内最多 8 人。减速、冻结、眩晕、经济、光环等功能型效果不计入输出。</t>
        </is>
      </c>
    </row>
    <row r="101">
      <c r="A101" s="10" t="inlineStr">
        <is>
          <t>实测：在经典跑道上用同一波 30 人测试，比较「一座升级装置」和「花同样 GST 放几座基础装置」各清掉多少体力（脚本 tools/sim_duel.mjs）。实测只覆盖 1–4 级。</t>
        </is>
      </c>
    </row>
    <row r="102">
      <c r="A102" s="10" t="inlineStr">
        <is>
          <t>休闲诱惑站和矿机不造成直接伤害（让跑者停下、挖矿），不放进本表比较。连击、音符、投递区类的 3–4 级是给 5、6 级攒能力，单看这一级会偏亏。</t>
        </is>
      </c>
    </row>
    <row r="103">
      <c r="A103" s="10" t="inlineStr">
        <is>
          <t>本表的估算列和实测列是生成时的快照：改了「装置」「升级」表的数值后，需要维护者重新运行 build.sh 才会更新；比值和结论列是公式，会随快照自动重算。</t>
        </is>
      </c>
    </row>
  </sheetData>
  <conditionalFormatting sqref="I3:I97">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97">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2026-10-17T03:41:24Z</dcterms:created>
  <dcterms:modified xmlns:dcterms="http://purl.org/dc/terms/" xmlns:xsi="http://www.w3.org/2001/XMLSchema-instance" xsi:type="dcterms:W3CDTF">2026-10-17T03:41:25Z</dcterms:modified>
</cp:coreProperties>
</file>